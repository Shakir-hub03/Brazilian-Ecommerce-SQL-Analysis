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1bcb0ead315dcf/文档/Ecommerce_SQL_Project/Reports/"/>
    </mc:Choice>
  </mc:AlternateContent>
  <xr:revisionPtr revIDLastSave="330" documentId="8_{5445CFB3-D74C-4DBD-8E91-F105783909E7}" xr6:coauthVersionLast="47" xr6:coauthVersionMax="47" xr10:uidLastSave="{C08349D3-FA8F-445D-915B-691A7FCDE6C4}"/>
  <bookViews>
    <workbookView xWindow="-120" yWindow="-120" windowWidth="20730" windowHeight="11760" xr2:uid="{4BA02AC0-4241-48B2-9751-8B52F466442C}"/>
  </bookViews>
  <sheets>
    <sheet name="Sheet4" sheetId="4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2" l="1"/>
  <c r="D17" i="2"/>
  <c r="D16" i="2"/>
  <c r="D15" i="2"/>
  <c r="D14" i="2"/>
  <c r="B33" i="2"/>
</calcChain>
</file>

<file path=xl/sharedStrings.xml><?xml version="1.0" encoding="utf-8"?>
<sst xmlns="http://schemas.openxmlformats.org/spreadsheetml/2006/main" count="72" uniqueCount="70">
  <si>
    <t>Month</t>
  </si>
  <si>
    <t>Revenue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</si>
  <si>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</si>
  <si>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</si>
  <si>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</si>
  <si>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</si>
  <si>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</si>
  <si>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</si>
  <si>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</si>
  <si>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</si>
  <si>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</si>
  <si>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</si>
  <si>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</si>
  <si>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</si>
  <si>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</si>
  <si>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</si>
  <si>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</si>
  <si>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</si>
  <si>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</si>
  <si>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</si>
  <si>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</si>
  <si>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</si>
  <si>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</si>
  <si>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</si>
  <si>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</si>
  <si>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</si>
  <si>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City</t>
  </si>
  <si>
    <t>sao paulo</t>
  </si>
  <si>
    <t>rio de janeiro</t>
  </si>
  <si>
    <t>belo horizonte</t>
  </si>
  <si>
    <t>brasilia</t>
  </si>
  <si>
    <t>curitiba</t>
  </si>
  <si>
    <t>porto alegre</t>
  </si>
  <si>
    <t>campinas</t>
  </si>
  <si>
    <t>salvador</t>
  </si>
  <si>
    <t>guarulhos</t>
  </si>
  <si>
    <t>niteroi</t>
  </si>
  <si>
    <t>Category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</si>
  <si>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</si>
  <si>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</si>
  <si>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</si>
  <si>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</si>
  <si>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</si>
  <si>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</si>
  <si>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</si>
  <si>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</si>
  <si>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</si>
  <si>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</si>
  <si>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Customer_Segment</t>
  </si>
  <si>
    <t>Customers</t>
  </si>
  <si>
    <t>Low Value</t>
  </si>
  <si>
    <t>Medium Value</t>
  </si>
  <si>
    <t>High Value</t>
  </si>
  <si>
    <t>Order_Status</t>
  </si>
  <si>
    <t>Orders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</si>
  <si>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</si>
  <si>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</si>
  <si>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</si>
  <si>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</si>
  <si>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</si>
  <si>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</si>
  <si>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</si>
  <si>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</si>
  <si>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Total_Revenue</t>
  </si>
  <si>
    <t>Total_Orders</t>
  </si>
  <si>
    <t>KPI</t>
  </si>
  <si>
    <t>Values</t>
  </si>
  <si>
    <t>Unique_Customers</t>
  </si>
  <si>
    <t>AOV</t>
  </si>
  <si>
    <t>Top_City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</si>
</sst>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0.00,,&quot;M&quot;"/>
    <numFmt numFmtId="165" formatCode="\R\$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16">
    <dxf>
      <numFmt numFmtId="165" formatCode="\R\$0.00"/>
      <alignment horizontal="general" vertical="center" textRotation="0" wrapText="1" indent="0" justifyLastLine="0" shrinkToFit="0" readingOrder="0"/>
    </dxf>
    <dxf>
      <numFmt numFmtId="164" formatCode="\R\$0.00,,&quot;M&quot;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\R\$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Sheet2!$A$2:$A$25</c:f>
              <c:strCache>
                <c:ptCount val="24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</c:strCache>
            </c:strRef>
          </c:cat>
          <c:val>
            <c:numRef>
              <c:f>Sheet2!$B$2:$B$25</c:f>
              <c:numCache>
                <c:formatCode>\R\$0.00</c:formatCode>
                <c:ptCount val="24"/>
                <c:pt idx="0">
                  <c:v>132.38999999999999</c:v>
                </c:pt>
                <c:pt idx="1">
                  <c:v>49507.66</c:v>
                </c:pt>
                <c:pt idx="2">
                  <c:v>10.9</c:v>
                </c:pt>
                <c:pt idx="3">
                  <c:v>120312.87</c:v>
                </c:pt>
                <c:pt idx="4">
                  <c:v>247303.02</c:v>
                </c:pt>
                <c:pt idx="5">
                  <c:v>374344.3</c:v>
                </c:pt>
                <c:pt idx="6">
                  <c:v>359927.23</c:v>
                </c:pt>
                <c:pt idx="7">
                  <c:v>506071.14</c:v>
                </c:pt>
                <c:pt idx="8">
                  <c:v>433038.6</c:v>
                </c:pt>
                <c:pt idx="9">
                  <c:v>498031.48</c:v>
                </c:pt>
                <c:pt idx="10">
                  <c:v>573971.68000000005</c:v>
                </c:pt>
                <c:pt idx="11">
                  <c:v>624401.68999999994</c:v>
                </c:pt>
                <c:pt idx="12">
                  <c:v>664219.43000000005</c:v>
                </c:pt>
                <c:pt idx="13">
                  <c:v>1010271.37</c:v>
                </c:pt>
                <c:pt idx="14">
                  <c:v>743914.17</c:v>
                </c:pt>
                <c:pt idx="15">
                  <c:v>950030.36</c:v>
                </c:pt>
                <c:pt idx="16">
                  <c:v>844178.71</c:v>
                </c:pt>
                <c:pt idx="17">
                  <c:v>983213.44</c:v>
                </c:pt>
                <c:pt idx="18">
                  <c:v>996647.75</c:v>
                </c:pt>
                <c:pt idx="19">
                  <c:v>996517.68</c:v>
                </c:pt>
                <c:pt idx="20">
                  <c:v>865124.31</c:v>
                </c:pt>
                <c:pt idx="21">
                  <c:v>895507.22</c:v>
                </c:pt>
                <c:pt idx="22">
                  <c:v>854686.33</c:v>
                </c:pt>
                <c:pt idx="23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3-4D26-94CD-EA4F4A0C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688064"/>
        <c:axId val="2110313712"/>
      </c:lineChart>
      <c:catAx>
        <c:axId val="36068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>
            <c:manualLayout>
              <c:xMode val="edge"/>
              <c:yMode val="edge"/>
              <c:x val="0.4662060367454068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13712"/>
        <c:crosses val="autoZero"/>
        <c:auto val="1"/>
        <c:lblAlgn val="ctr"/>
        <c:lblOffset val="100"/>
        <c:noMultiLvlLbl val="0"/>
      </c:catAx>
      <c:valAx>
        <c:axId val="21103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\$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Revenue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dLbl>
              <c:idx val="0"/>
              <c:layout>
                <c:manualLayout>
                  <c:x val="0.3718082838810074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F2-4DDC-88B9-B9F573D1E338}"/>
                </c:ext>
              </c:extLst>
            </c:dLbl>
            <c:dLbl>
              <c:idx val="1"/>
              <c:layout>
                <c:manualLayout>
                  <c:x val="0.24382226751927408"/>
                  <c:y val="-9.2272202998846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F2-4DDC-88B9-B9F573D1E338}"/>
                </c:ext>
              </c:extLst>
            </c:dLbl>
            <c:dLbl>
              <c:idx val="2"/>
              <c:layout>
                <c:manualLayout>
                  <c:x val="0.140552441383240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F2-4DDC-88B9-B9F573D1E338}"/>
                </c:ext>
              </c:extLst>
            </c:dLbl>
            <c:dLbl>
              <c:idx val="3"/>
              <c:layout>
                <c:manualLayout>
                  <c:x val="0.1447847933413333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F2-4DDC-88B9-B9F573D1E338}"/>
                </c:ext>
              </c:extLst>
            </c:dLbl>
            <c:dLbl>
              <c:idx val="4"/>
              <c:layout>
                <c:manualLayout>
                  <c:x val="0.12595006000032871"/>
                  <c:y val="-4.6136101499423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F2-4DDC-88B9-B9F573D1E338}"/>
                </c:ext>
              </c:extLst>
            </c:dLbl>
            <c:dLbl>
              <c:idx val="5"/>
              <c:layout>
                <c:manualLayout>
                  <c:x val="0.12593362155409071"/>
                  <c:y val="-8.4581875651897525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F2-4DDC-88B9-B9F573D1E338}"/>
                </c:ext>
              </c:extLst>
            </c:dLbl>
            <c:dLbl>
              <c:idx val="6"/>
              <c:layout>
                <c:manualLayout>
                  <c:x val="0.12072153820020927"/>
                  <c:y val="-4.6136101499423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F2-4DDC-88B9-B9F573D1E338}"/>
                </c:ext>
              </c:extLst>
            </c:dLbl>
            <c:dLbl>
              <c:idx val="7"/>
              <c:layout>
                <c:manualLayout>
                  <c:x val="0.12160220056000302"/>
                  <c:y val="-4.61361014994237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F2-4DDC-88B9-B9F573D1E338}"/>
                </c:ext>
              </c:extLst>
            </c:dLbl>
            <c:dLbl>
              <c:idx val="8"/>
              <c:layout>
                <c:manualLayout>
                  <c:x val="0.11249793149551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F2-4DDC-88B9-B9F573D1E338}"/>
                </c:ext>
              </c:extLst>
            </c:dLbl>
            <c:dLbl>
              <c:idx val="9"/>
              <c:layout>
                <c:manualLayout>
                  <c:x val="0.1131589762135683"/>
                  <c:y val="-2.114546891297438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F2-4DDC-88B9-B9F573D1E3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Sheet2!$D$2:$D$11</c:f>
              <c:strCache>
                <c:ptCount val="10"/>
                <c:pt idx="0">
                  <c:v>sao paulo</c:v>
                </c:pt>
                <c:pt idx="1">
                  <c:v>rio de janeiro</c:v>
                </c:pt>
                <c:pt idx="2">
                  <c:v>belo horizonte</c:v>
                </c:pt>
                <c:pt idx="3">
                  <c:v>brasilia</c:v>
                </c:pt>
                <c:pt idx="4">
                  <c:v>curitiba</c:v>
                </c:pt>
                <c:pt idx="5">
                  <c:v>porto alegre</c:v>
                </c:pt>
                <c:pt idx="6">
                  <c:v>campinas</c:v>
                </c:pt>
                <c:pt idx="7">
                  <c:v>salvador</c:v>
                </c:pt>
                <c:pt idx="8">
                  <c:v>guarulhos</c:v>
                </c:pt>
                <c:pt idx="9">
                  <c:v>niteroi</c:v>
                </c:pt>
              </c:strCache>
            </c:strRef>
          </c:cat>
          <c:val>
            <c:numRef>
              <c:f>Sheet2!$E$2:$E$11</c:f>
              <c:numCache>
                <c:formatCode>\R\$0.00</c:formatCode>
                <c:ptCount val="10"/>
                <c:pt idx="0">
                  <c:v>1914924.54</c:v>
                </c:pt>
                <c:pt idx="1">
                  <c:v>992538.86</c:v>
                </c:pt>
                <c:pt idx="2">
                  <c:v>355611.13</c:v>
                </c:pt>
                <c:pt idx="3">
                  <c:v>301920.25</c:v>
                </c:pt>
                <c:pt idx="4">
                  <c:v>211738.06</c:v>
                </c:pt>
                <c:pt idx="5">
                  <c:v>190562.08</c:v>
                </c:pt>
                <c:pt idx="6">
                  <c:v>187844.53</c:v>
                </c:pt>
                <c:pt idx="7">
                  <c:v>181104.42</c:v>
                </c:pt>
                <c:pt idx="8">
                  <c:v>144268.39000000001</c:v>
                </c:pt>
                <c:pt idx="9">
                  <c:v>117907.12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F2-4DDC-88B9-B9F573D1E3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1514368"/>
        <c:axId val="2110327152"/>
      </c:barChart>
      <c:catAx>
        <c:axId val="381514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27152"/>
        <c:crosses val="autoZero"/>
        <c:auto val="1"/>
        <c:lblAlgn val="ctr"/>
        <c:lblOffset val="100"/>
        <c:noMultiLvlLbl val="0"/>
      </c:catAx>
      <c:valAx>
        <c:axId val="2110327152"/>
        <c:scaling>
          <c:orientation val="minMax"/>
        </c:scaling>
        <c:delete val="1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\$0.00" sourceLinked="1"/>
        <c:majorTickMark val="none"/>
        <c:minorTickMark val="none"/>
        <c:tickLblPos val="nextTo"/>
        <c:crossAx val="3815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0664243501639321"/>
                  <c:y val="5.24971986144014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C1-47DE-971D-A9FB3701A2A7}"/>
                </c:ext>
              </c:extLst>
            </c:dLbl>
            <c:dLbl>
              <c:idx val="1"/>
              <c:layout>
                <c:manualLayout>
                  <c:x val="0.3311869541743454"/>
                  <c:y val="-3.386819757912528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C1-47DE-971D-A9FB3701A2A7}"/>
                </c:ext>
              </c:extLst>
            </c:dLbl>
            <c:dLbl>
              <c:idx val="2"/>
              <c:layout>
                <c:manualLayout>
                  <c:x val="0.32821194225721784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C1-47DE-971D-A9FB3701A2A7}"/>
                </c:ext>
              </c:extLst>
            </c:dLbl>
            <c:dLbl>
              <c:idx val="3"/>
              <c:layout>
                <c:manualLayout>
                  <c:x val="0.31360389326334209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C1-47DE-971D-A9FB3701A2A7}"/>
                </c:ext>
              </c:extLst>
            </c:dLbl>
            <c:dLbl>
              <c:idx val="4"/>
              <c:layout>
                <c:manualLayout>
                  <c:x val="0.2938998250218722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C1-47DE-971D-A9FB3701A2A7}"/>
                </c:ext>
              </c:extLst>
            </c:dLbl>
            <c:dLbl>
              <c:idx val="5"/>
              <c:layout>
                <c:manualLayout>
                  <c:x val="0.2561517935258093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C1-47DE-971D-A9FB3701A2A7}"/>
                </c:ext>
              </c:extLst>
            </c:dLbl>
            <c:dLbl>
              <c:idx val="6"/>
              <c:layout>
                <c:manualLayout>
                  <c:x val="0.23513779527559056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C1-47DE-971D-A9FB3701A2A7}"/>
                </c:ext>
              </c:extLst>
            </c:dLbl>
            <c:dLbl>
              <c:idx val="7"/>
              <c:layout>
                <c:manualLayout>
                  <c:x val="0.23168350831146098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C1-47DE-971D-A9FB3701A2A7}"/>
                </c:ext>
              </c:extLst>
            </c:dLbl>
            <c:dLbl>
              <c:idx val="8"/>
              <c:layout>
                <c:manualLayout>
                  <c:x val="0.2256686351706035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C1-47DE-971D-A9FB3701A2A7}"/>
                </c:ext>
              </c:extLst>
            </c:dLbl>
            <c:dLbl>
              <c:idx val="9"/>
              <c:layout>
                <c:manualLayout>
                  <c:x val="0.20454265091863516"/>
                  <c:y val="-4.629629629629608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C1-47DE-971D-A9FB3701A2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Sheet2!$G$2:$G$11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</c:strCache>
            </c:strRef>
          </c:cat>
          <c:val>
            <c:numRef>
              <c:f>Sheet2!$H$2:$H$11</c:f>
              <c:numCache>
                <c:formatCode>\R\$0.00,,"M"</c:formatCode>
                <c:ptCount val="10"/>
                <c:pt idx="0">
                  <c:v>1258546.3700000001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C1-47DE-971D-A9FB3701A2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5732288"/>
        <c:axId val="2110283952"/>
      </c:barChart>
      <c:catAx>
        <c:axId val="405732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83952"/>
        <c:crosses val="autoZero"/>
        <c:auto val="1"/>
        <c:lblAlgn val="ctr"/>
        <c:lblOffset val="100"/>
        <c:noMultiLvlLbl val="0"/>
      </c:catAx>
      <c:valAx>
        <c:axId val="21102839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\$0.00,,&quot;M&quot;" sourceLinked="1"/>
        <c:majorTickMark val="none"/>
        <c:minorTickMark val="none"/>
        <c:tickLblPos val="nextTo"/>
        <c:crossAx val="40573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Customer Segments</a:t>
            </a:r>
          </a:p>
        </c:rich>
      </c:tx>
      <c:layout>
        <c:manualLayout>
          <c:xMode val="edge"/>
          <c:yMode val="edge"/>
          <c:x val="0.27308394321832685"/>
          <c:y val="3.4444619422572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4.7846324117388418E-17"/>
                  <c:y val="-0.256851968503936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C0-4CCD-A723-67CC51021EAE}"/>
                </c:ext>
              </c:extLst>
            </c:dLbl>
            <c:dLbl>
              <c:idx val="1"/>
              <c:layout>
                <c:manualLayout>
                  <c:x val="0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C0-4CCD-A723-67CC51021EAE}"/>
                </c:ext>
              </c:extLst>
            </c:dLbl>
            <c:dLbl>
              <c:idx val="2"/>
              <c:layout>
                <c:manualLayout>
                  <c:x val="0"/>
                  <c:y val="-3.70370370370371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C0-4CCD-A723-67CC51021E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Sheet2!$J$2:$J$4</c:f>
              <c:strCache>
                <c:ptCount val="3"/>
                <c:pt idx="0">
                  <c:v>Low Value</c:v>
                </c:pt>
                <c:pt idx="1">
                  <c:v>Medium Value</c:v>
                </c:pt>
                <c:pt idx="2">
                  <c:v>High Value</c:v>
                </c:pt>
              </c:strCache>
            </c:strRef>
          </c:cat>
          <c:val>
            <c:numRef>
              <c:f>Sheet2!$K$2:$K$4</c:f>
              <c:numCache>
                <c:formatCode>General</c:formatCode>
                <c:ptCount val="3"/>
                <c:pt idx="0">
                  <c:v>94441</c:v>
                </c:pt>
                <c:pt idx="1">
                  <c:v>971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C0-4CCD-A723-67CC51021E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7077104"/>
        <c:axId val="2110250352"/>
      </c:barChart>
      <c:catAx>
        <c:axId val="41707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50352"/>
        <c:crosses val="autoZero"/>
        <c:auto val="1"/>
        <c:lblAlgn val="ctr"/>
        <c:lblOffset val="100"/>
        <c:noMultiLvlLbl val="0"/>
      </c:catAx>
      <c:valAx>
        <c:axId val="21102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Sheet2!$N$1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.3416666666666666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13-4E8C-A138-5699B2156543}"/>
                </c:ext>
              </c:extLst>
            </c:dLbl>
            <c:dLbl>
              <c:idx val="1"/>
              <c:layout>
                <c:manualLayout>
                  <c:x val="4.722222222222217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13-4E8C-A138-5699B2156543}"/>
                </c:ext>
              </c:extLst>
            </c:dLbl>
            <c:dLbl>
              <c:idx val="2"/>
              <c:layout>
                <c:manualLayout>
                  <c:x val="3.333333333333333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13-4E8C-A138-5699B2156543}"/>
                </c:ext>
              </c:extLst>
            </c:dLbl>
            <c:dLbl>
              <c:idx val="3"/>
              <c:layout>
                <c:manualLayout>
                  <c:x val="3.6111111111111087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13-4E8C-A138-5699B2156543}"/>
                </c:ext>
              </c:extLst>
            </c:dLbl>
            <c:dLbl>
              <c:idx val="4"/>
              <c:layout>
                <c:manualLayout>
                  <c:x val="3.88888888888888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13-4E8C-A138-5699B2156543}"/>
                </c:ext>
              </c:extLst>
            </c:dLbl>
            <c:dLbl>
              <c:idx val="5"/>
              <c:layout>
                <c:manualLayout>
                  <c:x val="3.3333333333333284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13-4E8C-A138-5699B2156543}"/>
                </c:ext>
              </c:extLst>
            </c:dLbl>
            <c:dLbl>
              <c:idx val="6"/>
              <c:layout>
                <c:manualLayout>
                  <c:x val="2.2222222222222195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13-4E8C-A138-5699B2156543}"/>
                </c:ext>
              </c:extLst>
            </c:dLbl>
            <c:dLbl>
              <c:idx val="7"/>
              <c:layout>
                <c:manualLayout>
                  <c:x val="2.4999999999999974E-2"/>
                  <c:y val="2.121889068003332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13-4E8C-A138-5699B21565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Sheet2!$M$2:$M$9</c:f>
              <c:strCache>
                <c:ptCount val="8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  <c:pt idx="5">
                  <c:v>processing</c:v>
                </c:pt>
                <c:pt idx="6">
                  <c:v>created</c:v>
                </c:pt>
                <c:pt idx="7">
                  <c:v>approved</c:v>
                </c:pt>
              </c:strCache>
            </c:strRef>
          </c:cat>
          <c:val>
            <c:numRef>
              <c:f>Sheet2!$N$2:$N$9</c:f>
              <c:numCache>
                <c:formatCode>General</c:formatCode>
                <c:ptCount val="8"/>
                <c:pt idx="0">
                  <c:v>96478</c:v>
                </c:pt>
                <c:pt idx="1">
                  <c:v>1107</c:v>
                </c:pt>
                <c:pt idx="2">
                  <c:v>625</c:v>
                </c:pt>
                <c:pt idx="3">
                  <c:v>609</c:v>
                </c:pt>
                <c:pt idx="4">
                  <c:v>314</c:v>
                </c:pt>
                <c:pt idx="5">
                  <c:v>301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13-4E8C-A138-5699B21565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5248736"/>
        <c:axId val="2110255152"/>
      </c:barChart>
      <c:catAx>
        <c:axId val="505248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55152"/>
        <c:crosses val="autoZero"/>
        <c:auto val="1"/>
        <c:lblAlgn val="ctr"/>
        <c:lblOffset val="100"/>
        <c:noMultiLvlLbl val="0"/>
      </c:catAx>
      <c:valAx>
        <c:axId val="211025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4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Sheet2!$A$2:$A$25</c:f>
              <c:strCache>
                <c:ptCount val="24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</c:strCache>
            </c:strRef>
          </c:cat>
          <c:val>
            <c:numRef>
              <c:f>Sheet2!$B$2:$B$25</c:f>
              <c:numCache>
                <c:formatCode>\R\$0.00</c:formatCode>
                <c:ptCount val="24"/>
                <c:pt idx="0">
                  <c:v>132.38999999999999</c:v>
                </c:pt>
                <c:pt idx="1">
                  <c:v>49507.66</c:v>
                </c:pt>
                <c:pt idx="2">
                  <c:v>10.9</c:v>
                </c:pt>
                <c:pt idx="3">
                  <c:v>120312.87</c:v>
                </c:pt>
                <c:pt idx="4">
                  <c:v>247303.02</c:v>
                </c:pt>
                <c:pt idx="5">
                  <c:v>374344.3</c:v>
                </c:pt>
                <c:pt idx="6">
                  <c:v>359927.23</c:v>
                </c:pt>
                <c:pt idx="7">
                  <c:v>506071.14</c:v>
                </c:pt>
                <c:pt idx="8">
                  <c:v>433038.6</c:v>
                </c:pt>
                <c:pt idx="9">
                  <c:v>498031.48</c:v>
                </c:pt>
                <c:pt idx="10">
                  <c:v>573971.68000000005</c:v>
                </c:pt>
                <c:pt idx="11">
                  <c:v>624401.68999999994</c:v>
                </c:pt>
                <c:pt idx="12">
                  <c:v>664219.43000000005</c:v>
                </c:pt>
                <c:pt idx="13">
                  <c:v>1010271.37</c:v>
                </c:pt>
                <c:pt idx="14">
                  <c:v>743914.17</c:v>
                </c:pt>
                <c:pt idx="15">
                  <c:v>950030.36</c:v>
                </c:pt>
                <c:pt idx="16">
                  <c:v>844178.71</c:v>
                </c:pt>
                <c:pt idx="17">
                  <c:v>983213.44</c:v>
                </c:pt>
                <c:pt idx="18">
                  <c:v>996647.75</c:v>
                </c:pt>
                <c:pt idx="19">
                  <c:v>996517.68</c:v>
                </c:pt>
                <c:pt idx="20">
                  <c:v>865124.31</c:v>
                </c:pt>
                <c:pt idx="21">
                  <c:v>895507.22</c:v>
                </c:pt>
                <c:pt idx="22">
                  <c:v>854686.33</c:v>
                </c:pt>
                <c:pt idx="23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B-458F-A0BC-8422EBE30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688064"/>
        <c:axId val="2110313712"/>
      </c:lineChart>
      <c:catAx>
        <c:axId val="36068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>
            <c:manualLayout>
              <c:xMode val="edge"/>
              <c:yMode val="edge"/>
              <c:x val="0.4662060367454068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13712"/>
        <c:crosses val="autoZero"/>
        <c:auto val="1"/>
        <c:lblAlgn val="ctr"/>
        <c:lblOffset val="100"/>
        <c:noMultiLvlLbl val="0"/>
      </c:catAx>
      <c:valAx>
        <c:axId val="21103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\$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Revenue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dLbl>
              <c:idx val="0"/>
              <c:layout>
                <c:manualLayout>
                  <c:x val="0.3718082838810074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970-489B-A8A1-EF6106EE0AB2}"/>
                </c:ext>
              </c:extLst>
            </c:dLbl>
            <c:dLbl>
              <c:idx val="1"/>
              <c:layout>
                <c:manualLayout>
                  <c:x val="0.24382226751927408"/>
                  <c:y val="-9.2272202998846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70-489B-A8A1-EF6106EE0AB2}"/>
                </c:ext>
              </c:extLst>
            </c:dLbl>
            <c:dLbl>
              <c:idx val="2"/>
              <c:layout>
                <c:manualLayout>
                  <c:x val="0.140552441383240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70-489B-A8A1-EF6106EE0AB2}"/>
                </c:ext>
              </c:extLst>
            </c:dLbl>
            <c:dLbl>
              <c:idx val="3"/>
              <c:layout>
                <c:manualLayout>
                  <c:x val="0.1447847933413333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70-489B-A8A1-EF6106EE0AB2}"/>
                </c:ext>
              </c:extLst>
            </c:dLbl>
            <c:dLbl>
              <c:idx val="4"/>
              <c:layout>
                <c:manualLayout>
                  <c:x val="0.12595006000032871"/>
                  <c:y val="-4.6136101499423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70-489B-A8A1-EF6106EE0AB2}"/>
                </c:ext>
              </c:extLst>
            </c:dLbl>
            <c:dLbl>
              <c:idx val="5"/>
              <c:layout>
                <c:manualLayout>
                  <c:x val="0.12593362155409071"/>
                  <c:y val="-8.4581875651897525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70-489B-A8A1-EF6106EE0AB2}"/>
                </c:ext>
              </c:extLst>
            </c:dLbl>
            <c:dLbl>
              <c:idx val="6"/>
              <c:layout>
                <c:manualLayout>
                  <c:x val="0.12072153820020927"/>
                  <c:y val="-4.6136101499423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70-489B-A8A1-EF6106EE0AB2}"/>
                </c:ext>
              </c:extLst>
            </c:dLbl>
            <c:dLbl>
              <c:idx val="7"/>
              <c:layout>
                <c:manualLayout>
                  <c:x val="0.12160220056000302"/>
                  <c:y val="-4.613610149942372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70-489B-A8A1-EF6106EE0AB2}"/>
                </c:ext>
              </c:extLst>
            </c:dLbl>
            <c:dLbl>
              <c:idx val="8"/>
              <c:layout>
                <c:manualLayout>
                  <c:x val="0.11249793149551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70-489B-A8A1-EF6106EE0AB2}"/>
                </c:ext>
              </c:extLst>
            </c:dLbl>
            <c:dLbl>
              <c:idx val="9"/>
              <c:layout>
                <c:manualLayout>
                  <c:x val="0.1131589762135683"/>
                  <c:y val="-2.114546891297438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0-489B-A8A1-EF6106EE0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Sheet2!$D$2:$D$11</c:f>
              <c:strCache>
                <c:ptCount val="10"/>
                <c:pt idx="0">
                  <c:v>sao paulo</c:v>
                </c:pt>
                <c:pt idx="1">
                  <c:v>rio de janeiro</c:v>
                </c:pt>
                <c:pt idx="2">
                  <c:v>belo horizonte</c:v>
                </c:pt>
                <c:pt idx="3">
                  <c:v>brasilia</c:v>
                </c:pt>
                <c:pt idx="4">
                  <c:v>curitiba</c:v>
                </c:pt>
                <c:pt idx="5">
                  <c:v>porto alegre</c:v>
                </c:pt>
                <c:pt idx="6">
                  <c:v>campinas</c:v>
                </c:pt>
                <c:pt idx="7">
                  <c:v>salvador</c:v>
                </c:pt>
                <c:pt idx="8">
                  <c:v>guarulhos</c:v>
                </c:pt>
                <c:pt idx="9">
                  <c:v>niteroi</c:v>
                </c:pt>
              </c:strCache>
            </c:strRef>
          </c:cat>
          <c:val>
            <c:numRef>
              <c:f>Sheet2!$E$2:$E$11</c:f>
              <c:numCache>
                <c:formatCode>\R\$0.00</c:formatCode>
                <c:ptCount val="10"/>
                <c:pt idx="0">
                  <c:v>1914924.54</c:v>
                </c:pt>
                <c:pt idx="1">
                  <c:v>992538.86</c:v>
                </c:pt>
                <c:pt idx="2">
                  <c:v>355611.13</c:v>
                </c:pt>
                <c:pt idx="3">
                  <c:v>301920.25</c:v>
                </c:pt>
                <c:pt idx="4">
                  <c:v>211738.06</c:v>
                </c:pt>
                <c:pt idx="5">
                  <c:v>190562.08</c:v>
                </c:pt>
                <c:pt idx="6">
                  <c:v>187844.53</c:v>
                </c:pt>
                <c:pt idx="7">
                  <c:v>181104.42</c:v>
                </c:pt>
                <c:pt idx="8">
                  <c:v>144268.39000000001</c:v>
                </c:pt>
                <c:pt idx="9">
                  <c:v>117907.12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0-489B-A8A1-EF6106EE0A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1514368"/>
        <c:axId val="2110327152"/>
      </c:barChart>
      <c:catAx>
        <c:axId val="381514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27152"/>
        <c:crosses val="autoZero"/>
        <c:auto val="1"/>
        <c:lblAlgn val="ctr"/>
        <c:lblOffset val="100"/>
        <c:noMultiLvlLbl val="0"/>
      </c:catAx>
      <c:valAx>
        <c:axId val="2110327152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\$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5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4971653543307087"/>
                  <c:y val="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D9-4CE7-9115-A81684BE3B42}"/>
                </c:ext>
              </c:extLst>
            </c:dLbl>
            <c:dLbl>
              <c:idx val="1"/>
              <c:layout>
                <c:manualLayout>
                  <c:x val="0.26002952755905501"/>
                  <c:y val="3.24074074074074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D9-4CE7-9115-A81684BE3B42}"/>
                </c:ext>
              </c:extLst>
            </c:dLbl>
            <c:dLbl>
              <c:idx val="2"/>
              <c:layout>
                <c:manualLayout>
                  <c:x val="0.32821194225721784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D9-4CE7-9115-A81684BE3B42}"/>
                </c:ext>
              </c:extLst>
            </c:dLbl>
            <c:dLbl>
              <c:idx val="3"/>
              <c:layout>
                <c:manualLayout>
                  <c:x val="0.31360389326334209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D9-4CE7-9115-A81684BE3B42}"/>
                </c:ext>
              </c:extLst>
            </c:dLbl>
            <c:dLbl>
              <c:idx val="4"/>
              <c:layout>
                <c:manualLayout>
                  <c:x val="0.2938998250218722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D9-4CE7-9115-A81684BE3B42}"/>
                </c:ext>
              </c:extLst>
            </c:dLbl>
            <c:dLbl>
              <c:idx val="5"/>
              <c:layout>
                <c:manualLayout>
                  <c:x val="0.2561517935258093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D9-4CE7-9115-A81684BE3B42}"/>
                </c:ext>
              </c:extLst>
            </c:dLbl>
            <c:dLbl>
              <c:idx val="6"/>
              <c:layout>
                <c:manualLayout>
                  <c:x val="0.23513779527559056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D9-4CE7-9115-A81684BE3B42}"/>
                </c:ext>
              </c:extLst>
            </c:dLbl>
            <c:dLbl>
              <c:idx val="7"/>
              <c:layout>
                <c:manualLayout>
                  <c:x val="0.23168350831146098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D9-4CE7-9115-A81684BE3B42}"/>
                </c:ext>
              </c:extLst>
            </c:dLbl>
            <c:dLbl>
              <c:idx val="8"/>
              <c:layout>
                <c:manualLayout>
                  <c:x val="0.2256686351706035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D9-4CE7-9115-A81684BE3B42}"/>
                </c:ext>
              </c:extLst>
            </c:dLbl>
            <c:dLbl>
              <c:idx val="9"/>
              <c:layout>
                <c:manualLayout>
                  <c:x val="0.20454265091863516"/>
                  <c:y val="-4.629629629629608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D9-4CE7-9115-A81684BE3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Sheet2!$G$2:$G$11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</c:strCache>
            </c:strRef>
          </c:cat>
          <c:val>
            <c:numRef>
              <c:f>Sheet2!$H$2:$H$11</c:f>
              <c:numCache>
                <c:formatCode>\R\$0.00,,"M"</c:formatCode>
                <c:ptCount val="10"/>
                <c:pt idx="0">
                  <c:v>1258546.3700000001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9-4CE7-9115-A81684BE3B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5732288"/>
        <c:axId val="2110283952"/>
      </c:barChart>
      <c:catAx>
        <c:axId val="405732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83952"/>
        <c:crosses val="autoZero"/>
        <c:auto val="1"/>
        <c:lblAlgn val="ctr"/>
        <c:lblOffset val="100"/>
        <c:noMultiLvlLbl val="0"/>
      </c:catAx>
      <c:valAx>
        <c:axId val="211028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\$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3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Segments</a:t>
            </a:r>
          </a:p>
        </c:rich>
      </c:tx>
      <c:layout>
        <c:manualLayout>
          <c:xMode val="edge"/>
          <c:yMode val="edge"/>
          <c:x val="0.270686513023081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310185185185185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04-43DF-A144-84DFB622CB0F}"/>
                </c:ext>
              </c:extLst>
            </c:dLbl>
            <c:dLbl>
              <c:idx val="1"/>
              <c:layout>
                <c:manualLayout>
                  <c:x val="0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04-43DF-A144-84DFB622CB0F}"/>
                </c:ext>
              </c:extLst>
            </c:dLbl>
            <c:dLbl>
              <c:idx val="2"/>
              <c:layout>
                <c:manualLayout>
                  <c:x val="0"/>
                  <c:y val="-3.70370370370371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04-43DF-A144-84DFB622CB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Sheet2!$J$2:$J$4</c:f>
              <c:strCache>
                <c:ptCount val="3"/>
                <c:pt idx="0">
                  <c:v>Low Value</c:v>
                </c:pt>
                <c:pt idx="1">
                  <c:v>Medium Value</c:v>
                </c:pt>
                <c:pt idx="2">
                  <c:v>High Value</c:v>
                </c:pt>
              </c:strCache>
            </c:strRef>
          </c:cat>
          <c:val>
            <c:numRef>
              <c:f>Sheet2!$K$2:$K$4</c:f>
              <c:numCache>
                <c:formatCode>General</c:formatCode>
                <c:ptCount val="3"/>
                <c:pt idx="0">
                  <c:v>94441</c:v>
                </c:pt>
                <c:pt idx="1">
                  <c:v>971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4-43DF-A144-84DFB622CB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7077104"/>
        <c:axId val="2110250352"/>
      </c:barChart>
      <c:catAx>
        <c:axId val="41707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50352"/>
        <c:crosses val="autoZero"/>
        <c:auto val="1"/>
        <c:lblAlgn val="ctr"/>
        <c:lblOffset val="100"/>
        <c:noMultiLvlLbl val="0"/>
      </c:catAx>
      <c:valAx>
        <c:axId val="21102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Sheet2!$N$1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.3416666666666666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AA7-4265-8F26-263A2CE11EE1}"/>
                </c:ext>
              </c:extLst>
            </c:dLbl>
            <c:dLbl>
              <c:idx val="1"/>
              <c:layout>
                <c:manualLayout>
                  <c:x val="4.722222222222217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A7-4265-8F26-263A2CE11EE1}"/>
                </c:ext>
              </c:extLst>
            </c:dLbl>
            <c:dLbl>
              <c:idx val="2"/>
              <c:layout>
                <c:manualLayout>
                  <c:x val="3.333333333333333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A7-4265-8F26-263A2CE11EE1}"/>
                </c:ext>
              </c:extLst>
            </c:dLbl>
            <c:dLbl>
              <c:idx val="3"/>
              <c:layout>
                <c:manualLayout>
                  <c:x val="3.6111111111111087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A7-4265-8F26-263A2CE11EE1}"/>
                </c:ext>
              </c:extLst>
            </c:dLbl>
            <c:dLbl>
              <c:idx val="4"/>
              <c:layout>
                <c:manualLayout>
                  <c:x val="3.88888888888888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A7-4265-8F26-263A2CE11EE1}"/>
                </c:ext>
              </c:extLst>
            </c:dLbl>
            <c:dLbl>
              <c:idx val="5"/>
              <c:layout>
                <c:manualLayout>
                  <c:x val="3.3333333333333284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A7-4265-8F26-263A2CE11EE1}"/>
                </c:ext>
              </c:extLst>
            </c:dLbl>
            <c:dLbl>
              <c:idx val="6"/>
              <c:layout>
                <c:manualLayout>
                  <c:x val="2.2222222222222195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A7-4265-8F26-263A2CE11EE1}"/>
                </c:ext>
              </c:extLst>
            </c:dLbl>
            <c:dLbl>
              <c:idx val="7"/>
              <c:layout>
                <c:manualLayout>
                  <c:x val="2.4999999999999974E-2"/>
                  <c:y val="2.121889068003332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A7-4265-8F26-263A2CE11E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Sheet2!$M$2:$M$9</c:f>
              <c:strCache>
                <c:ptCount val="8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  <c:pt idx="5">
                  <c:v>processing</c:v>
                </c:pt>
                <c:pt idx="6">
                  <c:v>created</c:v>
                </c:pt>
                <c:pt idx="7">
                  <c:v>approved</c:v>
                </c:pt>
              </c:strCache>
            </c:strRef>
          </c:cat>
          <c:val>
            <c:numRef>
              <c:f>Sheet2!$N$2:$N$9</c:f>
              <c:numCache>
                <c:formatCode>General</c:formatCode>
                <c:ptCount val="8"/>
                <c:pt idx="0">
                  <c:v>96478</c:v>
                </c:pt>
                <c:pt idx="1">
                  <c:v>1107</c:v>
                </c:pt>
                <c:pt idx="2">
                  <c:v>625</c:v>
                </c:pt>
                <c:pt idx="3">
                  <c:v>609</c:v>
                </c:pt>
                <c:pt idx="4">
                  <c:v>314</c:v>
                </c:pt>
                <c:pt idx="5">
                  <c:v>301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7-4265-8F26-263A2CE11E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5248736"/>
        <c:axId val="2110255152"/>
      </c:barChart>
      <c:catAx>
        <c:axId val="505248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55152"/>
        <c:crosses val="autoZero"/>
        <c:auto val="1"/>
        <c:lblAlgn val="ctr"/>
        <c:lblOffset val="100"/>
        <c:noMultiLvlLbl val="0"/>
      </c:catAx>
      <c:valAx>
        <c:axId val="211025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4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chart" Target="../charts/chart3.xml"/><Relationship Id="rId2" Type="http://schemas.openxmlformats.org/officeDocument/2006/relationships/image" Target="../media/image2.svg"/><Relationship Id="rId16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1.xml"/><Relationship Id="rId10" Type="http://schemas.openxmlformats.org/officeDocument/2006/relationships/image" Target="../media/image10.svg"/><Relationship Id="rId19" Type="http://schemas.openxmlformats.org/officeDocument/2006/relationships/chart" Target="../charts/chart5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476250</xdr:colOff>
      <xdr:row>26</xdr:row>
      <xdr:rowOff>105833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20A29A6-D7A8-EDD2-7204-C88EEE5D875D}"/>
            </a:ext>
          </a:extLst>
        </xdr:cNvPr>
        <xdr:cNvSpPr/>
      </xdr:nvSpPr>
      <xdr:spPr>
        <a:xfrm>
          <a:off x="0" y="0"/>
          <a:ext cx="13980583" cy="505883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523875</xdr:colOff>
      <xdr:row>0</xdr:row>
      <xdr:rowOff>47626</xdr:rowOff>
    </xdr:from>
    <xdr:to>
      <xdr:col>18</xdr:col>
      <xdr:colOff>529166</xdr:colOff>
      <xdr:row>3</xdr:row>
      <xdr:rowOff>137584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7BD58FE-82AD-FB46-536E-3B945C1ECCF1}"/>
            </a:ext>
          </a:extLst>
        </xdr:cNvPr>
        <xdr:cNvSpPr/>
      </xdr:nvSpPr>
      <xdr:spPr>
        <a:xfrm>
          <a:off x="2365375" y="47626"/>
          <a:ext cx="9212791" cy="66145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582083</xdr:colOff>
      <xdr:row>0</xdr:row>
      <xdr:rowOff>116417</xdr:rowOff>
    </xdr:from>
    <xdr:to>
      <xdr:col>18</xdr:col>
      <xdr:colOff>381000</xdr:colOff>
      <xdr:row>3</xdr:row>
      <xdr:rowOff>52917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8E277F-C4F4-DD3C-51B9-7503763028FC}"/>
            </a:ext>
          </a:extLst>
        </xdr:cNvPr>
        <xdr:cNvSpPr txBox="1"/>
      </xdr:nvSpPr>
      <xdr:spPr>
        <a:xfrm>
          <a:off x="2423583" y="116417"/>
          <a:ext cx="9006417" cy="5080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 u="non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OLIST E-COMMERCE BUSINESS DASHBOARD</a:t>
          </a:r>
          <a:r>
            <a:rPr lang="en-IN" sz="2000" b="0" u="non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IN" sz="2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 EXECUTIVE ANALYSIS REPORT -</a:t>
          </a:r>
          <a:endParaRPr lang="en-IN" sz="2000" u="sng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122766</xdr:colOff>
      <xdr:row>0</xdr:row>
      <xdr:rowOff>66675</xdr:rowOff>
    </xdr:from>
    <xdr:to>
      <xdr:col>3</xdr:col>
      <xdr:colOff>418041</xdr:colOff>
      <xdr:row>3</xdr:row>
      <xdr:rowOff>179917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C8AAACD-C3DA-E41C-A437-A9E0160C282B}"/>
            </a:ext>
          </a:extLst>
        </xdr:cNvPr>
        <xdr:cNvSpPr/>
      </xdr:nvSpPr>
      <xdr:spPr>
        <a:xfrm>
          <a:off x="122766" y="66675"/>
          <a:ext cx="2136775" cy="684742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112184</xdr:colOff>
      <xdr:row>4</xdr:row>
      <xdr:rowOff>47626</xdr:rowOff>
    </xdr:from>
    <xdr:to>
      <xdr:col>3</xdr:col>
      <xdr:colOff>407459</xdr:colOff>
      <xdr:row>8</xdr:row>
      <xdr:rowOff>21167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03EDCAC-E805-461E-B61D-AE8617184396}"/>
            </a:ext>
          </a:extLst>
        </xdr:cNvPr>
        <xdr:cNvSpPr/>
      </xdr:nvSpPr>
      <xdr:spPr>
        <a:xfrm>
          <a:off x="112184" y="809626"/>
          <a:ext cx="2136775" cy="735541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105835</xdr:colOff>
      <xdr:row>8</xdr:row>
      <xdr:rowOff>68793</xdr:rowOff>
    </xdr:from>
    <xdr:to>
      <xdr:col>3</xdr:col>
      <xdr:colOff>405343</xdr:colOff>
      <xdr:row>12</xdr:row>
      <xdr:rowOff>31751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F592E6F-A5CB-46B8-A49C-95E2FE442396}"/>
            </a:ext>
          </a:extLst>
        </xdr:cNvPr>
        <xdr:cNvSpPr/>
      </xdr:nvSpPr>
      <xdr:spPr>
        <a:xfrm>
          <a:off x="105835" y="1592793"/>
          <a:ext cx="2141008" cy="724958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114300</xdr:colOff>
      <xdr:row>12</xdr:row>
      <xdr:rowOff>99485</xdr:rowOff>
    </xdr:from>
    <xdr:to>
      <xdr:col>3</xdr:col>
      <xdr:colOff>409575</xdr:colOff>
      <xdr:row>16</xdr:row>
      <xdr:rowOff>95251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EA5CEC2-D879-4CAF-AE61-EEEED4796F23}"/>
            </a:ext>
          </a:extLst>
        </xdr:cNvPr>
        <xdr:cNvSpPr/>
      </xdr:nvSpPr>
      <xdr:spPr>
        <a:xfrm>
          <a:off x="114300" y="2385485"/>
          <a:ext cx="2136775" cy="757766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66676</xdr:colOff>
      <xdr:row>0</xdr:row>
      <xdr:rowOff>56094</xdr:rowOff>
    </xdr:from>
    <xdr:to>
      <xdr:col>22</xdr:col>
      <xdr:colOff>366185</xdr:colOff>
      <xdr:row>3</xdr:row>
      <xdr:rowOff>148167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0BA1FDD-28A6-406B-8148-5670FDD62F77}"/>
            </a:ext>
          </a:extLst>
        </xdr:cNvPr>
        <xdr:cNvSpPr/>
      </xdr:nvSpPr>
      <xdr:spPr>
        <a:xfrm>
          <a:off x="11729509" y="56094"/>
          <a:ext cx="2141009" cy="663573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381000</xdr:colOff>
      <xdr:row>0</xdr:row>
      <xdr:rowOff>84667</xdr:rowOff>
    </xdr:from>
    <xdr:to>
      <xdr:col>3</xdr:col>
      <xdr:colOff>158750</xdr:colOff>
      <xdr:row>2</xdr:row>
      <xdr:rowOff>31751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F3A381-5813-21AF-B43D-83D68F5A5C2E}"/>
            </a:ext>
          </a:extLst>
        </xdr:cNvPr>
        <xdr:cNvSpPr txBox="1"/>
      </xdr:nvSpPr>
      <xdr:spPr>
        <a:xfrm>
          <a:off x="381000" y="84667"/>
          <a:ext cx="1619250" cy="32808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Total_Revenue</a:t>
          </a:r>
          <a:r>
            <a:rPr lang="en-IN" sz="1800" u="sng">
              <a:effectLst/>
            </a:rPr>
            <a:t> </a:t>
          </a:r>
          <a:endParaRPr lang="en-IN" sz="1800" u="sng"/>
        </a:p>
      </xdr:txBody>
    </xdr:sp>
    <xdr:clientData/>
  </xdr:twoCellAnchor>
  <xdr:twoCellAnchor>
    <xdr:from>
      <xdr:col>0</xdr:col>
      <xdr:colOff>469902</xdr:colOff>
      <xdr:row>1</xdr:row>
      <xdr:rowOff>190499</xdr:rowOff>
    </xdr:from>
    <xdr:to>
      <xdr:col>2</xdr:col>
      <xdr:colOff>508001</xdr:colOff>
      <xdr:row>3</xdr:row>
      <xdr:rowOff>84666</xdr:rowOff>
    </xdr:to>
    <xdr:sp macro="" textlink="Sheet2!B29">
      <xdr:nvSpPr>
        <xdr:cNvPr id="22" name="TextBox 21">
          <a:extLst>
            <a:ext uri="{FF2B5EF4-FFF2-40B4-BE49-F238E27FC236}">
              <a16:creationId xmlns:a16="http://schemas.microsoft.com/office/drawing/2014/main" id="{F3CE6142-B7F7-4D1D-8256-1BCDF9541FB3}"/>
            </a:ext>
          </a:extLst>
        </xdr:cNvPr>
        <xdr:cNvSpPr txBox="1"/>
      </xdr:nvSpPr>
      <xdr:spPr>
        <a:xfrm>
          <a:off x="469902" y="380999"/>
          <a:ext cx="1265766" cy="27516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4E9E302-5603-4B35-BD00-3A2A5B5AACB2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pPr/>
            <a:t>R$13.59M</a:t>
          </a:fld>
          <a:endParaRPr lang="en-IN" sz="2000"/>
        </a:p>
      </xdr:txBody>
    </xdr:sp>
    <xdr:clientData/>
  </xdr:twoCellAnchor>
  <xdr:twoCellAnchor>
    <xdr:from>
      <xdr:col>0</xdr:col>
      <xdr:colOff>345016</xdr:colOff>
      <xdr:row>5</xdr:row>
      <xdr:rowOff>164042</xdr:rowOff>
    </xdr:from>
    <xdr:to>
      <xdr:col>2</xdr:col>
      <xdr:colOff>148166</xdr:colOff>
      <xdr:row>7</xdr:row>
      <xdr:rowOff>111126</xdr:rowOff>
    </xdr:to>
    <xdr:sp macro="" textlink="Sheet2!B30">
      <xdr:nvSpPr>
        <xdr:cNvPr id="23" name="TextBox 22">
          <a:extLst>
            <a:ext uri="{FF2B5EF4-FFF2-40B4-BE49-F238E27FC236}">
              <a16:creationId xmlns:a16="http://schemas.microsoft.com/office/drawing/2014/main" id="{1F93FF21-A3B3-45C7-842E-A20BDD4FD938}"/>
            </a:ext>
          </a:extLst>
        </xdr:cNvPr>
        <xdr:cNvSpPr txBox="1"/>
      </xdr:nvSpPr>
      <xdr:spPr>
        <a:xfrm>
          <a:off x="345016" y="1116542"/>
          <a:ext cx="1030817" cy="32808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EA0ABFD-0967-4575-A064-592D4693C908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99441</a:t>
          </a:fld>
          <a:endParaRPr lang="en-IN" sz="2000"/>
        </a:p>
      </xdr:txBody>
    </xdr:sp>
    <xdr:clientData/>
  </xdr:twoCellAnchor>
  <xdr:twoCellAnchor>
    <xdr:from>
      <xdr:col>0</xdr:col>
      <xdr:colOff>455083</xdr:colOff>
      <xdr:row>4</xdr:row>
      <xdr:rowOff>74083</xdr:rowOff>
    </xdr:from>
    <xdr:to>
      <xdr:col>3</xdr:col>
      <xdr:colOff>105833</xdr:colOff>
      <xdr:row>5</xdr:row>
      <xdr:rowOff>168276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6CC0BA0-D543-4B13-8117-13E3D88ED072}"/>
            </a:ext>
          </a:extLst>
        </xdr:cNvPr>
        <xdr:cNvSpPr txBox="1"/>
      </xdr:nvSpPr>
      <xdr:spPr>
        <a:xfrm>
          <a:off x="455083" y="836083"/>
          <a:ext cx="1492250" cy="28469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u="sng"/>
            <a:t>Total_Orders </a:t>
          </a:r>
        </a:p>
      </xdr:txBody>
    </xdr:sp>
    <xdr:clientData/>
  </xdr:twoCellAnchor>
  <xdr:twoCellAnchor>
    <xdr:from>
      <xdr:col>0</xdr:col>
      <xdr:colOff>201084</xdr:colOff>
      <xdr:row>8</xdr:row>
      <xdr:rowOff>105833</xdr:rowOff>
    </xdr:from>
    <xdr:to>
      <xdr:col>3</xdr:col>
      <xdr:colOff>317499</xdr:colOff>
      <xdr:row>10</xdr:row>
      <xdr:rowOff>10582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834F7BD-827E-48D5-8C5F-8829133A3CCA}"/>
            </a:ext>
          </a:extLst>
        </xdr:cNvPr>
        <xdr:cNvSpPr txBox="1"/>
      </xdr:nvSpPr>
      <xdr:spPr>
        <a:xfrm>
          <a:off x="201084" y="1629833"/>
          <a:ext cx="1957915" cy="28574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u="sng"/>
            <a:t>Unique_Customers</a:t>
          </a:r>
        </a:p>
      </xdr:txBody>
    </xdr:sp>
    <xdr:clientData/>
  </xdr:twoCellAnchor>
  <xdr:twoCellAnchor>
    <xdr:from>
      <xdr:col>1</xdr:col>
      <xdr:colOff>480486</xdr:colOff>
      <xdr:row>10</xdr:row>
      <xdr:rowOff>41276</xdr:rowOff>
    </xdr:from>
    <xdr:to>
      <xdr:col>3</xdr:col>
      <xdr:colOff>275168</xdr:colOff>
      <xdr:row>11</xdr:row>
      <xdr:rowOff>178860</xdr:rowOff>
    </xdr:to>
    <xdr:sp macro="" textlink="Sheet2!B31">
      <xdr:nvSpPr>
        <xdr:cNvPr id="26" name="TextBox 25">
          <a:extLst>
            <a:ext uri="{FF2B5EF4-FFF2-40B4-BE49-F238E27FC236}">
              <a16:creationId xmlns:a16="http://schemas.microsoft.com/office/drawing/2014/main" id="{D8F3A795-ECA0-40DD-B12F-44C2DC1C361B}"/>
            </a:ext>
          </a:extLst>
        </xdr:cNvPr>
        <xdr:cNvSpPr txBox="1"/>
      </xdr:nvSpPr>
      <xdr:spPr>
        <a:xfrm>
          <a:off x="1094319" y="1946276"/>
          <a:ext cx="1022349" cy="32808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4164C3A-5ED1-49B0-95EC-6567AE58CD6B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96096</a:t>
          </a:fld>
          <a:endParaRPr lang="en-IN" sz="2000"/>
        </a:p>
      </xdr:txBody>
    </xdr:sp>
    <xdr:clientData/>
  </xdr:twoCellAnchor>
  <xdr:twoCellAnchor>
    <xdr:from>
      <xdr:col>1</xdr:col>
      <xdr:colOff>82551</xdr:colOff>
      <xdr:row>12</xdr:row>
      <xdr:rowOff>120651</xdr:rowOff>
    </xdr:from>
    <xdr:to>
      <xdr:col>2</xdr:col>
      <xdr:colOff>201084</xdr:colOff>
      <xdr:row>14</xdr:row>
      <xdr:rowOff>67735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7CA07D5-FB4F-4359-8039-78FC36A88884}"/>
            </a:ext>
          </a:extLst>
        </xdr:cNvPr>
        <xdr:cNvSpPr txBox="1"/>
      </xdr:nvSpPr>
      <xdr:spPr>
        <a:xfrm>
          <a:off x="696384" y="2406651"/>
          <a:ext cx="732367" cy="32808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u="sng"/>
            <a:t>AOV</a:t>
          </a:r>
        </a:p>
      </xdr:txBody>
    </xdr:sp>
    <xdr:clientData/>
  </xdr:twoCellAnchor>
  <xdr:twoCellAnchor>
    <xdr:from>
      <xdr:col>1</xdr:col>
      <xdr:colOff>192616</xdr:colOff>
      <xdr:row>14</xdr:row>
      <xdr:rowOff>61384</xdr:rowOff>
    </xdr:from>
    <xdr:to>
      <xdr:col>3</xdr:col>
      <xdr:colOff>158750</xdr:colOff>
      <xdr:row>16</xdr:row>
      <xdr:rowOff>8468</xdr:rowOff>
    </xdr:to>
    <xdr:sp macro="" textlink="Sheet2!B32">
      <xdr:nvSpPr>
        <xdr:cNvPr id="28" name="TextBox 27">
          <a:extLst>
            <a:ext uri="{FF2B5EF4-FFF2-40B4-BE49-F238E27FC236}">
              <a16:creationId xmlns:a16="http://schemas.microsoft.com/office/drawing/2014/main" id="{32601F85-B016-46E4-92C6-CDA8AD3BF697}"/>
            </a:ext>
          </a:extLst>
        </xdr:cNvPr>
        <xdr:cNvSpPr txBox="1"/>
      </xdr:nvSpPr>
      <xdr:spPr>
        <a:xfrm>
          <a:off x="806449" y="2728384"/>
          <a:ext cx="1193801" cy="32808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02A9EFF-0CDB-4A42-939D-023A94252DBC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</a:rPr>
            <a:pPr/>
            <a:t>R$137.75</a:t>
          </a:fld>
          <a:endParaRPr lang="en-IN" sz="2000"/>
        </a:p>
      </xdr:txBody>
    </xdr:sp>
    <xdr:clientData/>
  </xdr:twoCellAnchor>
  <xdr:twoCellAnchor editAs="oneCell">
    <xdr:from>
      <xdr:col>0</xdr:col>
      <xdr:colOff>42333</xdr:colOff>
      <xdr:row>1</xdr:row>
      <xdr:rowOff>84666</xdr:rowOff>
    </xdr:from>
    <xdr:to>
      <xdr:col>0</xdr:col>
      <xdr:colOff>582084</xdr:colOff>
      <xdr:row>3</xdr:row>
      <xdr:rowOff>105834</xdr:rowOff>
    </xdr:to>
    <xdr:pic>
      <xdr:nvPicPr>
        <xdr:cNvPr id="32" name="Graphic 31" descr="Dollar outline">
          <a:extLst>
            <a:ext uri="{FF2B5EF4-FFF2-40B4-BE49-F238E27FC236}">
              <a16:creationId xmlns:a16="http://schemas.microsoft.com/office/drawing/2014/main" id="{5E5519BA-5E30-8BDA-4369-5B898A4A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333" y="275166"/>
          <a:ext cx="539751" cy="402168"/>
        </a:xfrm>
        <a:prstGeom prst="rect">
          <a:avLst/>
        </a:prstGeom>
      </xdr:spPr>
    </xdr:pic>
    <xdr:clientData/>
  </xdr:twoCellAnchor>
  <xdr:twoCellAnchor editAs="oneCell">
    <xdr:from>
      <xdr:col>2</xdr:col>
      <xdr:colOff>539751</xdr:colOff>
      <xdr:row>1</xdr:row>
      <xdr:rowOff>31751</xdr:rowOff>
    </xdr:from>
    <xdr:to>
      <xdr:col>3</xdr:col>
      <xdr:colOff>412750</xdr:colOff>
      <xdr:row>3</xdr:row>
      <xdr:rowOff>137583</xdr:rowOff>
    </xdr:to>
    <xdr:pic>
      <xdr:nvPicPr>
        <xdr:cNvPr id="34" name="Graphic 33" descr="Coins outline">
          <a:extLst>
            <a:ext uri="{FF2B5EF4-FFF2-40B4-BE49-F238E27FC236}">
              <a16:creationId xmlns:a16="http://schemas.microsoft.com/office/drawing/2014/main" id="{88C43845-9377-7F07-205D-89F20593A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67418" y="222251"/>
          <a:ext cx="486832" cy="486832"/>
        </a:xfrm>
        <a:prstGeom prst="rect">
          <a:avLst/>
        </a:prstGeom>
      </xdr:spPr>
    </xdr:pic>
    <xdr:clientData/>
  </xdr:twoCellAnchor>
  <xdr:twoCellAnchor editAs="oneCell">
    <xdr:from>
      <xdr:col>2</xdr:col>
      <xdr:colOff>31751</xdr:colOff>
      <xdr:row>5</xdr:row>
      <xdr:rowOff>148167</xdr:rowOff>
    </xdr:from>
    <xdr:to>
      <xdr:col>2</xdr:col>
      <xdr:colOff>476251</xdr:colOff>
      <xdr:row>8</xdr:row>
      <xdr:rowOff>21167</xdr:rowOff>
    </xdr:to>
    <xdr:pic>
      <xdr:nvPicPr>
        <xdr:cNvPr id="36" name="Graphic 35" descr="Upward trend with solid fill">
          <a:extLst>
            <a:ext uri="{FF2B5EF4-FFF2-40B4-BE49-F238E27FC236}">
              <a16:creationId xmlns:a16="http://schemas.microsoft.com/office/drawing/2014/main" id="{4C446F5D-2D08-D747-12B9-A99729DFA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59418" y="1100667"/>
          <a:ext cx="444500" cy="444500"/>
        </a:xfrm>
        <a:prstGeom prst="rect">
          <a:avLst/>
        </a:prstGeom>
      </xdr:spPr>
    </xdr:pic>
    <xdr:clientData/>
  </xdr:twoCellAnchor>
  <xdr:twoCellAnchor>
    <xdr:from>
      <xdr:col>19</xdr:col>
      <xdr:colOff>574676</xdr:colOff>
      <xdr:row>0</xdr:row>
      <xdr:rowOff>63500</xdr:rowOff>
    </xdr:from>
    <xdr:to>
      <xdr:col>21</xdr:col>
      <xdr:colOff>539751</xdr:colOff>
      <xdr:row>1</xdr:row>
      <xdr:rowOff>151346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21983B1-AA66-4CF3-BC17-DF2FE24979E1}"/>
            </a:ext>
          </a:extLst>
        </xdr:cNvPr>
        <xdr:cNvSpPr txBox="1"/>
      </xdr:nvSpPr>
      <xdr:spPr>
        <a:xfrm>
          <a:off x="12237509" y="63500"/>
          <a:ext cx="1192742" cy="2783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u="sng"/>
            <a:t>Top_City</a:t>
          </a:r>
        </a:p>
      </xdr:txBody>
    </xdr:sp>
    <xdr:clientData/>
  </xdr:twoCellAnchor>
  <xdr:twoCellAnchor editAs="oneCell">
    <xdr:from>
      <xdr:col>0</xdr:col>
      <xdr:colOff>486834</xdr:colOff>
      <xdr:row>9</xdr:row>
      <xdr:rowOff>105833</xdr:rowOff>
    </xdr:from>
    <xdr:to>
      <xdr:col>1</xdr:col>
      <xdr:colOff>486834</xdr:colOff>
      <xdr:row>12</xdr:row>
      <xdr:rowOff>148166</xdr:rowOff>
    </xdr:to>
    <xdr:pic>
      <xdr:nvPicPr>
        <xdr:cNvPr id="38" name="Graphic 37" descr="Target Audience with solid fill">
          <a:extLst>
            <a:ext uri="{FF2B5EF4-FFF2-40B4-BE49-F238E27FC236}">
              <a16:creationId xmlns:a16="http://schemas.microsoft.com/office/drawing/2014/main" id="{4D01340A-30CC-9E2E-A09C-D31671C37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86834" y="1820333"/>
          <a:ext cx="613833" cy="613833"/>
        </a:xfrm>
        <a:prstGeom prst="rect">
          <a:avLst/>
        </a:prstGeom>
      </xdr:spPr>
    </xdr:pic>
    <xdr:clientData/>
  </xdr:twoCellAnchor>
  <xdr:twoCellAnchor editAs="oneCell">
    <xdr:from>
      <xdr:col>0</xdr:col>
      <xdr:colOff>306920</xdr:colOff>
      <xdr:row>13</xdr:row>
      <xdr:rowOff>137585</xdr:rowOff>
    </xdr:from>
    <xdr:to>
      <xdr:col>1</xdr:col>
      <xdr:colOff>201084</xdr:colOff>
      <xdr:row>16</xdr:row>
      <xdr:rowOff>74082</xdr:rowOff>
    </xdr:to>
    <xdr:pic>
      <xdr:nvPicPr>
        <xdr:cNvPr id="46" name="Graphic 45" descr="Box with solid fill">
          <a:extLst>
            <a:ext uri="{FF2B5EF4-FFF2-40B4-BE49-F238E27FC236}">
              <a16:creationId xmlns:a16="http://schemas.microsoft.com/office/drawing/2014/main" id="{80D789EA-0C87-2CED-7213-C38CB3CDA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06920" y="2614085"/>
          <a:ext cx="507997" cy="507997"/>
        </a:xfrm>
        <a:prstGeom prst="rect">
          <a:avLst/>
        </a:prstGeom>
      </xdr:spPr>
    </xdr:pic>
    <xdr:clientData/>
  </xdr:twoCellAnchor>
  <xdr:twoCellAnchor editAs="oneCell">
    <xdr:from>
      <xdr:col>2</xdr:col>
      <xdr:colOff>31749</xdr:colOff>
      <xdr:row>12</xdr:row>
      <xdr:rowOff>95252</xdr:rowOff>
    </xdr:from>
    <xdr:to>
      <xdr:col>2</xdr:col>
      <xdr:colOff>423331</xdr:colOff>
      <xdr:row>14</xdr:row>
      <xdr:rowOff>105834</xdr:rowOff>
    </xdr:to>
    <xdr:pic>
      <xdr:nvPicPr>
        <xdr:cNvPr id="44" name="Graphic 43" descr="Tax outline">
          <a:extLst>
            <a:ext uri="{FF2B5EF4-FFF2-40B4-BE49-F238E27FC236}">
              <a16:creationId xmlns:a16="http://schemas.microsoft.com/office/drawing/2014/main" id="{42D4874C-2173-93CF-8075-23194183D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59416" y="2381252"/>
          <a:ext cx="391582" cy="391582"/>
        </a:xfrm>
        <a:prstGeom prst="rect">
          <a:avLst/>
        </a:prstGeom>
      </xdr:spPr>
    </xdr:pic>
    <xdr:clientData/>
  </xdr:twoCellAnchor>
  <xdr:twoCellAnchor editAs="oneCell">
    <xdr:from>
      <xdr:col>21</xdr:col>
      <xdr:colOff>243416</xdr:colOff>
      <xdr:row>0</xdr:row>
      <xdr:rowOff>116418</xdr:rowOff>
    </xdr:from>
    <xdr:to>
      <xdr:col>22</xdr:col>
      <xdr:colOff>264582</xdr:colOff>
      <xdr:row>3</xdr:row>
      <xdr:rowOff>179917</xdr:rowOff>
    </xdr:to>
    <xdr:pic>
      <xdr:nvPicPr>
        <xdr:cNvPr id="48" name="Graphic 47" descr="City with solid fill">
          <a:extLst>
            <a:ext uri="{FF2B5EF4-FFF2-40B4-BE49-F238E27FC236}">
              <a16:creationId xmlns:a16="http://schemas.microsoft.com/office/drawing/2014/main" id="{8609ACFD-EE9D-8FB7-F5AA-0835E7440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133916" y="116418"/>
          <a:ext cx="634999" cy="634999"/>
        </a:xfrm>
        <a:prstGeom prst="rect">
          <a:avLst/>
        </a:prstGeom>
      </xdr:spPr>
    </xdr:pic>
    <xdr:clientData/>
  </xdr:twoCellAnchor>
  <xdr:twoCellAnchor>
    <xdr:from>
      <xdr:col>16</xdr:col>
      <xdr:colOff>10583</xdr:colOff>
      <xdr:row>16</xdr:row>
      <xdr:rowOff>63500</xdr:rowOff>
    </xdr:from>
    <xdr:to>
      <xdr:col>22</xdr:col>
      <xdr:colOff>402166</xdr:colOff>
      <xdr:row>26</xdr:row>
      <xdr:rowOff>42335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9312F-839B-4072-9614-391548AC5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486833</xdr:colOff>
      <xdr:row>4</xdr:row>
      <xdr:rowOff>21170</xdr:rowOff>
    </xdr:from>
    <xdr:to>
      <xdr:col>11</xdr:col>
      <xdr:colOff>116416</xdr:colOff>
      <xdr:row>16</xdr:row>
      <xdr:rowOff>21168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392F9D2-9AB6-4F4C-859A-33F76A222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63500</xdr:colOff>
      <xdr:row>16</xdr:row>
      <xdr:rowOff>127000</xdr:rowOff>
    </xdr:from>
    <xdr:to>
      <xdr:col>9</xdr:col>
      <xdr:colOff>179917</xdr:colOff>
      <xdr:row>26</xdr:row>
      <xdr:rowOff>84667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9DD9B43C-7B02-E081-4859-9D73904A5566}"/>
            </a:ext>
          </a:extLst>
        </xdr:cNvPr>
        <xdr:cNvSpPr/>
      </xdr:nvSpPr>
      <xdr:spPr>
        <a:xfrm>
          <a:off x="63500" y="3175000"/>
          <a:ext cx="5640917" cy="186266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141817</xdr:colOff>
      <xdr:row>4</xdr:row>
      <xdr:rowOff>25399</xdr:rowOff>
    </xdr:from>
    <xdr:to>
      <xdr:col>18</xdr:col>
      <xdr:colOff>306917</xdr:colOff>
      <xdr:row>16</xdr:row>
      <xdr:rowOff>21167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655B8EE-8F0C-4617-B5E1-F1EC978BD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349250</xdr:colOff>
      <xdr:row>4</xdr:row>
      <xdr:rowOff>21166</xdr:rowOff>
    </xdr:from>
    <xdr:to>
      <xdr:col>22</xdr:col>
      <xdr:colOff>391584</xdr:colOff>
      <xdr:row>16</xdr:row>
      <xdr:rowOff>21167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BEDC9E4-D55D-43FE-BD87-41FBD657C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251883</xdr:colOff>
      <xdr:row>16</xdr:row>
      <xdr:rowOff>74083</xdr:rowOff>
    </xdr:from>
    <xdr:to>
      <xdr:col>15</xdr:col>
      <xdr:colOff>582082</xdr:colOff>
      <xdr:row>26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1C5042-1F36-44E5-B413-3F785A193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444502</xdr:colOff>
      <xdr:row>16</xdr:row>
      <xdr:rowOff>169334</xdr:rowOff>
    </xdr:from>
    <xdr:to>
      <xdr:col>8</xdr:col>
      <xdr:colOff>476250</xdr:colOff>
      <xdr:row>19</xdr:row>
      <xdr:rowOff>63500</xdr:rowOff>
    </xdr:to>
    <xdr:sp macro="" textlink="Sheet2!D14">
      <xdr:nvSpPr>
        <xdr:cNvPr id="31" name="TextBox 30">
          <a:extLst>
            <a:ext uri="{FF2B5EF4-FFF2-40B4-BE49-F238E27FC236}">
              <a16:creationId xmlns:a16="http://schemas.microsoft.com/office/drawing/2014/main" id="{5A958F96-4FE9-9E30-A127-6E38CFB6E3C0}"/>
            </a:ext>
          </a:extLst>
        </xdr:cNvPr>
        <xdr:cNvSpPr txBox="1"/>
      </xdr:nvSpPr>
      <xdr:spPr>
        <a:xfrm>
          <a:off x="444502" y="3217334"/>
          <a:ext cx="4942415" cy="465666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50" b="0" i="0" u="none" strike="noStrike">
              <a:solidFill>
                <a:srgbClr val="000000"/>
              </a:solidFill>
              <a:latin typeface="Aptos Narrow"/>
            </a:rPr>
            <a:t>/</a:t>
          </a:r>
          <a:r>
            <a:rPr lang="en-US" sz="1150" b="0" i="0" u="none" strike="noStrike" baseline="0">
              <a:solidFill>
                <a:srgbClr val="000000"/>
              </a:solidFill>
              <a:latin typeface="Aptos Narrow"/>
            </a:rPr>
            <a:t> </a:t>
          </a:r>
          <a:fld id="{B5A8966B-DF62-4103-9835-2D4263ABD97C}" type="TxLink">
            <a:rPr lang="en-US" sz="1150" b="0" i="0" u="none" strike="noStrike">
              <a:solidFill>
                <a:srgbClr val="000000"/>
              </a:solidFill>
              <a:latin typeface="Aptos Narrow"/>
            </a:rPr>
            <a:t>Total Product Revenue reached R$13591508.73 across R$99441 orders, with an average order value of R$137.75 .</a:t>
          </a:fld>
          <a:endParaRPr lang="en-IN" sz="1150"/>
        </a:p>
      </xdr:txBody>
    </xdr:sp>
    <xdr:clientData/>
  </xdr:twoCellAnchor>
  <xdr:twoCellAnchor>
    <xdr:from>
      <xdr:col>0</xdr:col>
      <xdr:colOff>421219</xdr:colOff>
      <xdr:row>18</xdr:row>
      <xdr:rowOff>177802</xdr:rowOff>
    </xdr:from>
    <xdr:to>
      <xdr:col>9</xdr:col>
      <xdr:colOff>63501</xdr:colOff>
      <xdr:row>21</xdr:row>
      <xdr:rowOff>71970</xdr:rowOff>
    </xdr:to>
    <xdr:sp macro="" textlink="Sheet2!D15">
      <xdr:nvSpPr>
        <xdr:cNvPr id="37" name="TextBox 36">
          <a:extLst>
            <a:ext uri="{FF2B5EF4-FFF2-40B4-BE49-F238E27FC236}">
              <a16:creationId xmlns:a16="http://schemas.microsoft.com/office/drawing/2014/main" id="{F6FDD353-B171-45DF-ACD9-7FC44637F9E2}"/>
            </a:ext>
          </a:extLst>
        </xdr:cNvPr>
        <xdr:cNvSpPr txBox="1"/>
      </xdr:nvSpPr>
      <xdr:spPr>
        <a:xfrm>
          <a:off x="421219" y="3606802"/>
          <a:ext cx="5166782" cy="465668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50" b="0" i="0" u="none" strike="noStrike">
              <a:solidFill>
                <a:srgbClr val="000000"/>
              </a:solidFill>
              <a:latin typeface="Aptos Narrow"/>
            </a:rPr>
            <a:t>/ </a:t>
          </a:r>
          <a:fld id="{79817563-F225-40E4-9607-C63713B675B8}" type="TxLink">
            <a:rPr lang="en-US" sz="1150" b="0" i="0" u="none" strike="noStrike">
              <a:solidFill>
                <a:srgbClr val="000000"/>
              </a:solidFill>
              <a:latin typeface="Aptos Narrow"/>
            </a:rPr>
            <a:t>Revenue increased substantially from 2017 into 2018, reaching approximately R$1010271.37 in November 2017 and nearly R$996517.68 in April-May 2018.</a:t>
          </a:fld>
          <a:endParaRPr lang="en-IN" sz="1150"/>
        </a:p>
      </xdr:txBody>
    </xdr:sp>
    <xdr:clientData/>
  </xdr:twoCellAnchor>
  <xdr:twoCellAnchor>
    <xdr:from>
      <xdr:col>0</xdr:col>
      <xdr:colOff>414867</xdr:colOff>
      <xdr:row>21</xdr:row>
      <xdr:rowOff>33866</xdr:rowOff>
    </xdr:from>
    <xdr:to>
      <xdr:col>8</xdr:col>
      <xdr:colOff>539750</xdr:colOff>
      <xdr:row>23</xdr:row>
      <xdr:rowOff>118534</xdr:rowOff>
    </xdr:to>
    <xdr:sp macro="" textlink="Sheet2!D16">
      <xdr:nvSpPr>
        <xdr:cNvPr id="39" name="TextBox 38">
          <a:extLst>
            <a:ext uri="{FF2B5EF4-FFF2-40B4-BE49-F238E27FC236}">
              <a16:creationId xmlns:a16="http://schemas.microsoft.com/office/drawing/2014/main" id="{40A3A997-18DC-4EB6-8AB6-1644AEE55D30}"/>
            </a:ext>
          </a:extLst>
        </xdr:cNvPr>
        <xdr:cNvSpPr txBox="1"/>
      </xdr:nvSpPr>
      <xdr:spPr>
        <a:xfrm>
          <a:off x="414867" y="4034366"/>
          <a:ext cx="5035550" cy="465668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50" b="0" i="0" u="none" strike="noStrike">
              <a:solidFill>
                <a:srgbClr val="000000"/>
              </a:solidFill>
              <a:latin typeface="Aptos Narrow"/>
            </a:rPr>
            <a:t>/ </a:t>
          </a:r>
          <a:fld id="{896684A2-2295-4D5D-BC97-1B016AE4F528}" type="TxLink">
            <a:rPr lang="en-US" sz="1150" b="0" i="0" u="none" strike="noStrike">
              <a:solidFill>
                <a:srgbClr val="000000"/>
              </a:solidFill>
              <a:latin typeface="Aptos Narrow"/>
            </a:rPr>
            <a:t>sao paulo is the leading revenue-generating city at R$1914924.54, nearly twice the revenue generated by rio de janeiro.</a:t>
          </a:fld>
          <a:endParaRPr lang="en-IN" sz="1150"/>
        </a:p>
      </xdr:txBody>
    </xdr:sp>
    <xdr:clientData/>
  </xdr:twoCellAnchor>
  <xdr:twoCellAnchor>
    <xdr:from>
      <xdr:col>19</xdr:col>
      <xdr:colOff>144992</xdr:colOff>
      <xdr:row>1</xdr:row>
      <xdr:rowOff>148167</xdr:rowOff>
    </xdr:from>
    <xdr:to>
      <xdr:col>21</xdr:col>
      <xdr:colOff>359832</xdr:colOff>
      <xdr:row>3</xdr:row>
      <xdr:rowOff>126999</xdr:rowOff>
    </xdr:to>
    <xdr:sp macro="" textlink="Sheet2!D2">
      <xdr:nvSpPr>
        <xdr:cNvPr id="30" name="TextBox 29">
          <a:extLst>
            <a:ext uri="{FF2B5EF4-FFF2-40B4-BE49-F238E27FC236}">
              <a16:creationId xmlns:a16="http://schemas.microsoft.com/office/drawing/2014/main" id="{5D63FEFC-F0CE-4599-9562-5A37B0B7E7CA}"/>
            </a:ext>
          </a:extLst>
        </xdr:cNvPr>
        <xdr:cNvSpPr txBox="1"/>
      </xdr:nvSpPr>
      <xdr:spPr>
        <a:xfrm>
          <a:off x="11807825" y="338667"/>
          <a:ext cx="1442507" cy="35983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3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8390901-D2B6-47A7-A797-046377BD36EE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t>sao paulo</a:t>
          </a:fld>
          <a:endParaRPr lang="en-IN" sz="2000"/>
        </a:p>
      </xdr:txBody>
    </xdr:sp>
    <xdr:clientData/>
  </xdr:twoCellAnchor>
  <xdr:twoCellAnchor>
    <xdr:from>
      <xdr:col>0</xdr:col>
      <xdr:colOff>402168</xdr:colOff>
      <xdr:row>23</xdr:row>
      <xdr:rowOff>116417</xdr:rowOff>
    </xdr:from>
    <xdr:to>
      <xdr:col>8</xdr:col>
      <xdr:colOff>444500</xdr:colOff>
      <xdr:row>26</xdr:row>
      <xdr:rowOff>10585</xdr:rowOff>
    </xdr:to>
    <xdr:sp macro="" textlink="Sheet2!D18">
      <xdr:nvSpPr>
        <xdr:cNvPr id="33" name="TextBox 32">
          <a:extLst>
            <a:ext uri="{FF2B5EF4-FFF2-40B4-BE49-F238E27FC236}">
              <a16:creationId xmlns:a16="http://schemas.microsoft.com/office/drawing/2014/main" id="{026ECF08-1E2B-4D56-9CBC-57AF9F19F0D5}"/>
            </a:ext>
          </a:extLst>
        </xdr:cNvPr>
        <xdr:cNvSpPr txBox="1"/>
      </xdr:nvSpPr>
      <xdr:spPr>
        <a:xfrm>
          <a:off x="402168" y="4497917"/>
          <a:ext cx="4952999" cy="465668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50" b="0" i="0" u="none" strike="noStrike">
              <a:solidFill>
                <a:srgbClr val="000000"/>
              </a:solidFill>
              <a:latin typeface="Aptos Narrow"/>
            </a:rPr>
            <a:t>/ </a:t>
          </a:r>
          <a:fld id="{5316A52E-ABB3-4149-85B2-CB82E7E11B17}" type="TxLink">
            <a:rPr lang="en-US" sz="1150" b="0" i="0" u="none" strike="noStrike">
              <a:solidFill>
                <a:srgbClr val="000000"/>
              </a:solidFill>
              <a:latin typeface="Aptos Narrow"/>
            </a:rPr>
            <a:t>The customer base is heavily concentrated in the Low Value Segment under the defined thresholds, while approximately 97% of orders are delivered.</a:t>
          </a:fld>
          <a:endParaRPr lang="en-IN" sz="115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19</xdr:row>
      <xdr:rowOff>28575</xdr:rowOff>
    </xdr:from>
    <xdr:to>
      <xdr:col>18</xdr:col>
      <xdr:colOff>238125</xdr:colOff>
      <xdr:row>33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AEAC2-51F0-B0D8-DC8C-2AE493497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666749</xdr:colOff>
      <xdr:row>19</xdr:row>
      <xdr:rowOff>28575</xdr:rowOff>
    </xdr:from>
    <xdr:to>
      <xdr:col>11</xdr:col>
      <xdr:colOff>219074</xdr:colOff>
      <xdr:row>33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EA6BE8-636D-2173-0F9A-5CD0DB23F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581025</xdr:colOff>
      <xdr:row>34</xdr:row>
      <xdr:rowOff>0</xdr:rowOff>
    </xdr:from>
    <xdr:to>
      <xdr:col>8</xdr:col>
      <xdr:colOff>76200</xdr:colOff>
      <xdr:row>48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8B961C-29E5-1C5B-1AD6-8753E91D8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19</xdr:row>
      <xdr:rowOff>19050</xdr:rowOff>
    </xdr:from>
    <xdr:to>
      <xdr:col>6</xdr:col>
      <xdr:colOff>485775</xdr:colOff>
      <xdr:row>33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5D7C05-1528-1E5A-07DF-0054E3EE6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314325</xdr:colOff>
      <xdr:row>33</xdr:row>
      <xdr:rowOff>180975</xdr:rowOff>
    </xdr:from>
    <xdr:to>
      <xdr:col>13</xdr:col>
      <xdr:colOff>342900</xdr:colOff>
      <xdr:row>48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F74132-01DE-7301-8BC3-6DC600E15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E4C5B-1B84-4CAB-81C3-8898B1FBE7BB}" name="Monthly_Revenue" displayName="Monthly_Revenue" ref="A1:B25" totalsRowShown="0" dataDxfId="15">
  <autoFilter ref="A1:B25" xr:uid="{C41E4C5B-1B84-4CAB-81C3-8898B1FBE7BB}"/>
  <tableColumns count="2">
    <tableColumn id="1" xr3:uid="{7E3AE349-5249-49E8-8257-4356F2C0A402}" name="Month" dataDxfId="14"/>
    <tableColumn id="2" xr3:uid="{E9EE5C5A-4713-4A2F-B122-3FBDCCEBED35}" name="Revenu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B40AC-1947-4C61-BEC8-A77B08A1A47A}" name="City_Revenue" displayName="City_Revenue" ref="D1:E11" totalsRowShown="0" dataDxfId="12">
  <autoFilter ref="D1:E11" xr:uid="{131B40AC-1947-4C61-BEC8-A77B08A1A47A}"/>
  <tableColumns count="2">
    <tableColumn id="1" xr3:uid="{57C28E98-7F96-4AD5-861E-B174E745E686}" name="City" dataDxfId="11"/>
    <tableColumn id="2" xr3:uid="{351D1A85-18AD-4CC2-9DB7-12A675FA1EE0}" name="Revenu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9C786D-9DA7-4384-9F1E-EA79431AD719}" name="Category_Revenue" displayName="Category_Revenue" ref="G1:H11" totalsRowShown="0" dataDxfId="10">
  <autoFilter ref="G1:H11" xr:uid="{699C786D-9DA7-4384-9F1E-EA79431AD719}"/>
  <tableColumns count="2">
    <tableColumn id="1" xr3:uid="{46CDCC1B-7D73-4995-B4B6-8698CFB3A640}" name="Category" dataDxfId="9"/>
    <tableColumn id="2" xr3:uid="{936022E7-0877-455C-A641-8FECD4037417}" name="Revenu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9E00E0-8191-4683-8AAE-B7BF64DE1A39}" name="Customer_Segments" displayName="Customer_Segments" ref="J1:K4" totalsRowShown="0" dataDxfId="8">
  <autoFilter ref="J1:K4" xr:uid="{699E00E0-8191-4683-8AAE-B7BF64DE1A39}"/>
  <tableColumns count="2">
    <tableColumn id="1" xr3:uid="{60ACA7C6-5DA4-462E-A665-A666B579DE2C}" name="Customer_Segment" dataDxfId="7"/>
    <tableColumn id="2" xr3:uid="{7B29018C-8962-4358-B8AB-555E68220F3A}" name="Customers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22944A-1D6E-49BA-9C45-94172BCDEC3F}" name="Order_Status" displayName="Order_Status" ref="M1:N9" totalsRowShown="0" dataDxfId="5">
  <autoFilter ref="M1:N9" xr:uid="{C322944A-1D6E-49BA-9C45-94172BCDEC3F}"/>
  <tableColumns count="2">
    <tableColumn id="1" xr3:uid="{701E56EE-7BBA-44E6-8BF5-B8C7DED2F577}" name="Order_Status" dataDxfId="4"/>
    <tableColumn id="2" xr3:uid="{8EE69549-DDEA-4BFF-AF53-4B9021B35ACE}" name="Orders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C6A798-8655-4C94-BCDC-23D33BBAEC8A}" name="Table6" displayName="Table6" ref="A28:B33" totalsRowShown="0">
  <autoFilter ref="A28:B33" xr:uid="{EFC6A798-8655-4C94-BCDC-23D33BBAEC8A}"/>
  <tableColumns count="2">
    <tableColumn id="1" xr3:uid="{B23B24A6-50A4-4645-BCD6-5E426D867F13}" name="KPI"/>
    <tableColumn id="2" xr3:uid="{2DE1E646-A6F2-44E3-A5DB-8C859E732448}" name="Valu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80CD-90BC-448D-977A-7B2E9F9417A1}">
  <dimension ref="A1"/>
  <sheetViews>
    <sheetView showGridLines="0" tabSelected="1" zoomScale="90" zoomScaleNormal="90" workbookViewId="0">
      <selection activeCell="X11" sqref="X11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B67C-A6DF-473D-8557-985F7DCD1A94}">
  <dimension ref="A1:N33"/>
  <sheetViews>
    <sheetView zoomScale="50" zoomScaleNormal="50" workbookViewId="0">
      <selection activeCell="D15" sqref="D15"/>
    </sheetView>
  </sheetViews>
  <sheetFormatPr defaultRowHeight="15" x14ac:dyDescent="0.25"/>
  <cols>
    <col min="1" max="1" width="17.85546875" bestFit="1" customWidth="1"/>
    <col min="2" max="2" width="12.7109375" bestFit="1" customWidth="1"/>
    <col min="4" max="4" width="13.7109375" bestFit="1" customWidth="1"/>
    <col min="5" max="5" width="12.7109375" bestFit="1" customWidth="1"/>
    <col min="7" max="7" width="18.5703125" bestFit="1" customWidth="1"/>
    <col min="8" max="8" width="12.7109375" bestFit="1" customWidth="1"/>
    <col min="10" max="10" width="21.42578125" bestFit="1" customWidth="1"/>
    <col min="11" max="11" width="13.28515625" bestFit="1" customWidth="1"/>
    <col min="13" max="13" width="15" bestFit="1" customWidth="1"/>
    <col min="14" max="14" width="9.42578125" bestFit="1" customWidth="1"/>
  </cols>
  <sheetData>
    <row r="1" spans="1:14" x14ac:dyDescent="0.25">
      <c r="A1" t="s">
        <v>0</v>
      </c>
      <c r="B1" t="s">
        <v>1</v>
      </c>
      <c r="D1" t="s">
        <v>26</v>
      </c>
      <c r="E1" t="s">
        <v>1</v>
      </c>
      <c r="G1" t="s">
        <v>37</v>
      </c>
      <c r="H1" t="s">
        <v>1</v>
      </c>
      <c r="J1" t="s">
        <v>48</v>
      </c>
      <c r="K1" t="s">
        <v>49</v>
      </c>
      <c r="M1" t="s">
        <v>53</v>
      </c>
      <c r="N1" t="s">
        <v>54</v>
      </c>
    </row>
    <row r="2" spans="1:14" x14ac:dyDescent="0.25">
      <c r="A2" s="1" t="s">
        <v>2</v>
      </c>
      <c r="B2" s="4">
        <v>132.38999999999999</v>
      </c>
      <c r="D2" s="1" t="s">
        <v>27</v>
      </c>
      <c r="E2" s="4">
        <v>1914924.54</v>
      </c>
      <c r="G2" s="1" t="s">
        <v>38</v>
      </c>
      <c r="H2" s="2">
        <v>1258546.3700000001</v>
      </c>
      <c r="J2" s="1" t="s">
        <v>50</v>
      </c>
      <c r="K2" s="1">
        <v>94441</v>
      </c>
      <c r="M2" s="1" t="s">
        <v>55</v>
      </c>
      <c r="N2" s="1">
        <v>96478</v>
      </c>
    </row>
    <row r="3" spans="1:14" x14ac:dyDescent="0.25">
      <c r="A3" s="1" t="s">
        <v>3</v>
      </c>
      <c r="B3" s="4">
        <v>49507.66</v>
      </c>
      <c r="D3" s="1" t="s">
        <v>28</v>
      </c>
      <c r="E3" s="4">
        <v>992538.86</v>
      </c>
      <c r="G3" s="1" t="s">
        <v>39</v>
      </c>
      <c r="H3" s="2">
        <v>1205005.68</v>
      </c>
      <c r="J3" s="1" t="s">
        <v>51</v>
      </c>
      <c r="K3" s="1">
        <v>971</v>
      </c>
      <c r="M3" s="1" t="s">
        <v>56</v>
      </c>
      <c r="N3" s="1">
        <v>1107</v>
      </c>
    </row>
    <row r="4" spans="1:14" ht="15" customHeight="1" x14ac:dyDescent="0.25">
      <c r="A4" s="1" t="s">
        <v>4</v>
      </c>
      <c r="B4" s="4">
        <v>10.9</v>
      </c>
      <c r="D4" s="1" t="s">
        <v>29</v>
      </c>
      <c r="E4" s="4">
        <v>355611.13</v>
      </c>
      <c r="G4" s="1" t="s">
        <v>40</v>
      </c>
      <c r="H4" s="2">
        <v>1036988.68</v>
      </c>
      <c r="J4" s="1" t="s">
        <v>52</v>
      </c>
      <c r="K4" s="1">
        <v>7</v>
      </c>
      <c r="M4" s="1" t="s">
        <v>57</v>
      </c>
      <c r="N4" s="1">
        <v>625</v>
      </c>
    </row>
    <row r="5" spans="1:14" x14ac:dyDescent="0.25">
      <c r="A5" s="1" t="s">
        <v>5</v>
      </c>
      <c r="B5" s="4">
        <v>120312.87</v>
      </c>
      <c r="D5" s="1" t="s">
        <v>30</v>
      </c>
      <c r="E5" s="4">
        <v>301920.25</v>
      </c>
      <c r="G5" s="1" t="s">
        <v>41</v>
      </c>
      <c r="H5" s="2">
        <v>988048.97</v>
      </c>
      <c r="M5" s="1" t="s">
        <v>58</v>
      </c>
      <c r="N5" s="1">
        <v>609</v>
      </c>
    </row>
    <row r="6" spans="1:14" ht="30" x14ac:dyDescent="0.25">
      <c r="A6" s="1" t="s">
        <v>6</v>
      </c>
      <c r="B6" s="4">
        <v>247303.02</v>
      </c>
      <c r="D6" s="1" t="s">
        <v>31</v>
      </c>
      <c r="E6" s="4">
        <v>211738.06</v>
      </c>
      <c r="G6" s="1" t="s">
        <v>42</v>
      </c>
      <c r="H6" s="2">
        <v>911954.32</v>
      </c>
      <c r="M6" s="1" t="s">
        <v>59</v>
      </c>
      <c r="N6" s="1">
        <v>314</v>
      </c>
    </row>
    <row r="7" spans="1:14" x14ac:dyDescent="0.25">
      <c r="A7" s="1" t="s">
        <v>7</v>
      </c>
      <c r="B7" s="4">
        <v>374344.3</v>
      </c>
      <c r="D7" s="1" t="s">
        <v>32</v>
      </c>
      <c r="E7" s="4">
        <v>190562.08</v>
      </c>
      <c r="G7" s="1" t="s">
        <v>43</v>
      </c>
      <c r="H7" s="2">
        <v>729762.49</v>
      </c>
      <c r="M7" s="1" t="s">
        <v>60</v>
      </c>
      <c r="N7" s="1">
        <v>301</v>
      </c>
    </row>
    <row r="8" spans="1:14" x14ac:dyDescent="0.25">
      <c r="A8" s="1" t="s">
        <v>8</v>
      </c>
      <c r="B8" s="4">
        <v>359927.23</v>
      </c>
      <c r="D8" s="1" t="s">
        <v>33</v>
      </c>
      <c r="E8" s="4">
        <v>187844.53</v>
      </c>
      <c r="G8" s="1" t="s">
        <v>44</v>
      </c>
      <c r="H8" s="2">
        <v>635290.85</v>
      </c>
      <c r="M8" s="1" t="s">
        <v>61</v>
      </c>
      <c r="N8" s="1">
        <v>5</v>
      </c>
    </row>
    <row r="9" spans="1:14" ht="30" x14ac:dyDescent="0.25">
      <c r="A9" s="1" t="s">
        <v>9</v>
      </c>
      <c r="B9" s="4">
        <v>506071.14</v>
      </c>
      <c r="D9" s="1" t="s">
        <v>34</v>
      </c>
      <c r="E9" s="4">
        <v>181104.42</v>
      </c>
      <c r="G9" s="1" t="s">
        <v>45</v>
      </c>
      <c r="H9" s="2">
        <v>632248.66</v>
      </c>
      <c r="M9" s="1" t="s">
        <v>62</v>
      </c>
      <c r="N9" s="1">
        <v>2</v>
      </c>
    </row>
    <row r="10" spans="1:14" x14ac:dyDescent="0.25">
      <c r="A10" s="1" t="s">
        <v>10</v>
      </c>
      <c r="B10" s="4">
        <v>433038.6</v>
      </c>
      <c r="D10" s="1" t="s">
        <v>35</v>
      </c>
      <c r="E10" s="4">
        <v>144268.39000000001</v>
      </c>
      <c r="G10" s="1" t="s">
        <v>46</v>
      </c>
      <c r="H10" s="2">
        <v>592720.11</v>
      </c>
    </row>
    <row r="11" spans="1:14" ht="30" x14ac:dyDescent="0.25">
      <c r="A11" s="1" t="s">
        <v>11</v>
      </c>
      <c r="B11" s="4">
        <v>498031.48</v>
      </c>
      <c r="D11" s="1" t="s">
        <v>36</v>
      </c>
      <c r="E11" s="4">
        <v>117907.12</v>
      </c>
      <c r="G11" s="1" t="s">
        <v>47</v>
      </c>
      <c r="H11" s="2">
        <v>485256.46</v>
      </c>
    </row>
    <row r="12" spans="1:14" x14ac:dyDescent="0.25">
      <c r="A12" s="1" t="s">
        <v>12</v>
      </c>
      <c r="B12" s="4">
        <v>573971.68000000005</v>
      </c>
    </row>
    <row r="13" spans="1:14" x14ac:dyDescent="0.25">
      <c r="A13" s="1" t="s">
        <v>13</v>
      </c>
      <c r="B13" s="4">
        <v>624401.68999999994</v>
      </c>
    </row>
    <row r="14" spans="1:14" x14ac:dyDescent="0.25">
      <c r="A14" s="1" t="s">
        <v>14</v>
      </c>
      <c r="B14" s="4">
        <v>664219.43000000005</v>
      </c>
      <c r="D14" t="str">
        <f>"Total Product Revenue reached R$"&amp;B29&amp;" across R$"&amp;B30&amp;" orders, with an average order value of R$"&amp;B32&amp;" ."</f>
        <v>Total Product Revenue reached R$13591508.73 across R$99441 orders, with an average order value of R$137.75 .</v>
      </c>
    </row>
    <row r="15" spans="1:14" x14ac:dyDescent="0.25">
      <c r="A15" s="1" t="s">
        <v>15</v>
      </c>
      <c r="B15" s="4">
        <v>1010271.37</v>
      </c>
      <c r="D15" t="str">
        <f>"Revenue increased substantially from 2017 into 2018, reaching approximately R$"&amp;Monthly_Revenue[[#This Row],[Revenue]]&amp;" in November 2017 and nearly R$"&amp;B21&amp;" in April-May 2018."</f>
        <v>Revenue increased substantially from 2017 into 2018, reaching approximately R$1010271.37 in November 2017 and nearly R$996517.68 in April-May 2018.</v>
      </c>
    </row>
    <row r="16" spans="1:14" x14ac:dyDescent="0.25">
      <c r="A16" s="1" t="s">
        <v>16</v>
      </c>
      <c r="B16" s="4">
        <v>743914.17</v>
      </c>
      <c r="D16" t="str">
        <f>D2&amp;" is the leading revenue-generating city at R$"&amp;E2&amp;", nearly twice the revenue generated by "&amp;D3&amp;"."</f>
        <v>sao paulo is the leading revenue-generating city at R$1914924.54, nearly twice the revenue generated by rio de janeiro.</v>
      </c>
    </row>
    <row r="17" spans="1:4" x14ac:dyDescent="0.25">
      <c r="A17" s="1" t="s">
        <v>17</v>
      </c>
      <c r="B17" s="4">
        <v>950030.36</v>
      </c>
      <c r="D17" t="str">
        <f>G2&amp;" is the  highest-revenue product category at approximately R$"&amp;H2&amp;", followed closely by "&amp;G3&amp;" and "&amp;G4&amp;" ."</f>
        <v>beleza_saude is the  highest-revenue product category at approximately R$1258546.37, followed closely by relogios_presentes and cama_mesa_banho .</v>
      </c>
    </row>
    <row r="18" spans="1:4" x14ac:dyDescent="0.25">
      <c r="A18" s="1" t="s">
        <v>18</v>
      </c>
      <c r="B18" s="4">
        <v>844178.71</v>
      </c>
      <c r="D18" t="str">
        <f>"The customer base is heavily concentrated in the Low Value Segment under the defined thresholds, while approximately 97% of orders are delivered."</f>
        <v>The customer base is heavily concentrated in the Low Value Segment under the defined thresholds, while approximately 97% of orders are delivered.</v>
      </c>
    </row>
    <row r="19" spans="1:4" x14ac:dyDescent="0.25">
      <c r="A19" s="1" t="s">
        <v>19</v>
      </c>
      <c r="B19" s="4">
        <v>983213.44</v>
      </c>
    </row>
    <row r="20" spans="1:4" x14ac:dyDescent="0.25">
      <c r="A20" s="1" t="s">
        <v>20</v>
      </c>
      <c r="B20" s="4">
        <v>996647.75</v>
      </c>
    </row>
    <row r="21" spans="1:4" x14ac:dyDescent="0.25">
      <c r="A21" s="1" t="s">
        <v>21</v>
      </c>
      <c r="B21" s="4">
        <v>996517.68</v>
      </c>
    </row>
    <row r="22" spans="1:4" x14ac:dyDescent="0.25">
      <c r="A22" s="1" t="s">
        <v>22</v>
      </c>
      <c r="B22" s="4">
        <v>865124.31</v>
      </c>
    </row>
    <row r="23" spans="1:4" x14ac:dyDescent="0.25">
      <c r="A23" s="1" t="s">
        <v>23</v>
      </c>
      <c r="B23" s="4">
        <v>895507.22</v>
      </c>
    </row>
    <row r="24" spans="1:4" x14ac:dyDescent="0.25">
      <c r="A24" s="1" t="s">
        <v>24</v>
      </c>
      <c r="B24" s="4">
        <v>854686.33</v>
      </c>
    </row>
    <row r="25" spans="1:4" x14ac:dyDescent="0.25">
      <c r="A25" s="1" t="s">
        <v>25</v>
      </c>
      <c r="B25" s="4">
        <v>145</v>
      </c>
    </row>
    <row r="28" spans="1:4" x14ac:dyDescent="0.25">
      <c r="A28" t="s">
        <v>65</v>
      </c>
      <c r="B28" s="1" t="s">
        <v>66</v>
      </c>
    </row>
    <row r="29" spans="1:4" x14ac:dyDescent="0.25">
      <c r="A29" t="s">
        <v>63</v>
      </c>
      <c r="B29" s="2">
        <v>13591508.73</v>
      </c>
    </row>
    <row r="30" spans="1:4" x14ac:dyDescent="0.25">
      <c r="A30" t="s">
        <v>64</v>
      </c>
      <c r="B30" s="1">
        <v>99441</v>
      </c>
    </row>
    <row r="31" spans="1:4" x14ac:dyDescent="0.25">
      <c r="A31" t="s">
        <v>67</v>
      </c>
      <c r="B31" s="1">
        <v>96096</v>
      </c>
    </row>
    <row r="32" spans="1:4" x14ac:dyDescent="0.25">
      <c r="A32" t="s">
        <v>68</v>
      </c>
      <c r="B32" s="4">
        <v>137.75</v>
      </c>
    </row>
    <row r="33" spans="1:2" x14ac:dyDescent="0.25">
      <c r="A33" t="s">
        <v>69</v>
      </c>
      <c r="B33" s="3" t="str">
        <f>D2</f>
        <v>sao paulo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Shakir</dc:creator>
  <cp:lastModifiedBy>Abdul Shakir</cp:lastModifiedBy>
  <dcterms:created xsi:type="dcterms:W3CDTF">2026-08-31T14:54:49Z</dcterms:created>
  <dcterms:modified xsi:type="dcterms:W3CDTF">2026-09-01T07:30:57Z</dcterms:modified>
</cp:coreProperties>
</file>